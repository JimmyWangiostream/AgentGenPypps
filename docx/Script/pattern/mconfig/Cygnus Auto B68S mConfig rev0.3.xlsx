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croncorp-my.sharepoint.com/personal/ghu_micron_com/Documents/Cygnus_auto/mconfig_0.3/"/>
    </mc:Choice>
  </mc:AlternateContent>
  <xr:revisionPtr revIDLastSave="196" documentId="8_{4B5C04BE-211D-4537-AB3A-9CB7F97F4D6D}" xr6:coauthVersionLast="47" xr6:coauthVersionMax="47" xr10:uidLastSave="{6D1479D7-5CB4-42B3-BB60-8A6D433204F4}"/>
  <bookViews>
    <workbookView xWindow="28680" yWindow="-120" windowWidth="29040" windowHeight="17520" tabRatio="264" xr2:uid="{6B30ECFF-4DDC-4878-A1DF-01FBBDFEEBC4}"/>
  </bookViews>
  <sheets>
    <sheet name="Sheet1" sheetId="1" r:id="rId1"/>
  </sheets>
  <definedNames>
    <definedName name="_xlnm._FilterDatabase" localSheetId="0" hidden="1">Sheet1!$A$1:$L$312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F3" i="1"/>
  <c r="E4" i="1"/>
</calcChain>
</file>

<file path=xl/sharedStrings.xml><?xml version="1.0" encoding="utf-8"?>
<sst xmlns="http://schemas.openxmlformats.org/spreadsheetml/2006/main" count="813" uniqueCount="614">
  <si>
    <t>MConfigurable Parameter File - CYGNUS AUTO</t>
  </si>
  <si>
    <t>Parameter Definition</t>
  </si>
  <si>
    <t>Parameter Name</t>
  </si>
  <si>
    <t>Size (bit)</t>
  </si>
  <si>
    <t>Descriptions</t>
  </si>
  <si>
    <t>Start Offset (dec)</t>
  </si>
  <si>
    <t>End offset (dec)</t>
  </si>
  <si>
    <t xml:space="preserve">Unit </t>
  </si>
  <si>
    <t>aEW mConfig Index 1
(T= trial, R=release)</t>
  </si>
  <si>
    <t>aQW mConfig Index 2
(T= trial, R=release)</t>
  </si>
  <si>
    <t>aQWBU mConfig Index 3
(T= trial, R=release)</t>
  </si>
  <si>
    <t>aQWBU1 mConfig Index 4
(T= trial, R=release)</t>
  </si>
  <si>
    <t>File Signature and Version</t>
  </si>
  <si>
    <t>Name 1</t>
  </si>
  <si>
    <t>"M"</t>
  </si>
  <si>
    <t>Name 2</t>
  </si>
  <si>
    <t>"C"</t>
  </si>
  <si>
    <t>Name 3</t>
  </si>
  <si>
    <t>"O"</t>
  </si>
  <si>
    <t>Name 4</t>
  </si>
  <si>
    <t>"N"</t>
  </si>
  <si>
    <t>Name 5</t>
  </si>
  <si>
    <t>"F"</t>
  </si>
  <si>
    <t>Name 6</t>
  </si>
  <si>
    <t>"I"</t>
  </si>
  <si>
    <t>Name 7</t>
  </si>
  <si>
    <t>"G"</t>
  </si>
  <si>
    <t>mConfig version</t>
  </si>
  <si>
    <t>mConfig Version</t>
  </si>
  <si>
    <t>OTP Value</t>
  </si>
  <si>
    <t>OTP value</t>
  </si>
  <si>
    <t>OTP value to match OTP index</t>
  </si>
  <si>
    <t>Global Reserved bytes</t>
  </si>
  <si>
    <t>RESERVED</t>
  </si>
  <si>
    <t>mandatory WL</t>
  </si>
  <si>
    <t>MANDATORY_WL_1</t>
  </si>
  <si>
    <t>Mandatory WL. flag bit[15] media scan, [14] read disturb scan, [13] LP in RD scan [12] XP in RD scan, [11] NDEP in media scan, [10:9] reserved; [8:0] WL number, WL137 NDEP</t>
  </si>
  <si>
    <t>MANDATORY_WL_2</t>
  </si>
  <si>
    <t>Mandatory WL. flag bit[15] media scan, [14] read disturb scan, [13] LP in RD scan [12] XP in RD scan, [11] NDEP in media scan, [10:9] reserved; [8:0] WL number, WL283 NDEP</t>
  </si>
  <si>
    <t>MANDATORY_WL_3</t>
  </si>
  <si>
    <t>Mandatory WL. flag bit[15] media scan, [14] read disturb scan, [13] LP in RD scan [12] XP in RD scan, [11] NDEP in media scan, [10:9] reserved; [8:0] WL number, WL3 MS</t>
  </si>
  <si>
    <t>MANDATORY_WL_4</t>
  </si>
  <si>
    <t>Mandatory WL. flag bit[15] media scan, [14] read disturb scan, [13] LP in RD scan [12] XP in RD scan, [11] NDEP in media scan, [10:9] reserved; [8:0] WL number, WL4 MS</t>
  </si>
  <si>
    <t>MANDATORY_WL_5</t>
  </si>
  <si>
    <t>Mandatory WL. flag bit[15] media scan, [14] read disturb scan, [13] LP in RD scan [12] XP in RD scan, [11] NDEP in media scan, [10:9] reserved; [8:0] WL number, WL70 MS</t>
  </si>
  <si>
    <t>MANDATORY_WL_6</t>
  </si>
  <si>
    <t>Mandatory WL. flag bit[15] media scan, [14] read disturb scan, [13] LP in RD scan [12] XP in RD scan, [11] NDEP in media scan, [10:9] reserved; [8:0] WL number, WL80 MS</t>
  </si>
  <si>
    <t>MANDATORY_WL_7</t>
  </si>
  <si>
    <t>Mandatory WL. flag bit[15] media scan, [14] read disturb scan, [13] LP in RD scan [12] XP in RD scan, [11] NDEP in media scan, [10:9] reserved; [8:0] WL number, WL146 MS</t>
  </si>
  <si>
    <t>MANDATORY_WL_8</t>
  </si>
  <si>
    <t>Mandatory WL. flag bit[15] media scan, [14] read disturb scan, [13] LP in RD scan [12] XP in RD scan, [11] NDEP in media scan, [10:9] reserved; [8:0] WL number, WL 147 MS</t>
  </si>
  <si>
    <t>MANDATORY_WL_9</t>
  </si>
  <si>
    <t>Mandatory WL. flag bit[15] media scan, [14] read disturb scan, [13] LP in RD scan [12] XP in RD scan, [11] NDEP in media scan, [10:9] reserved; [8:0] WL number, WL 263 MS</t>
  </si>
  <si>
    <t>MANDATORY_WL_10</t>
  </si>
  <si>
    <t>Mandatory WL. flag bit[15] media scan, [14] read disturb scan, [13] LP in RD scan [12] XP in RD scan, [11] NDEP in media scan, [10:9] reserved; [8:0] WL number, WL282 MS</t>
  </si>
  <si>
    <t>MANDATORY_WL_11</t>
  </si>
  <si>
    <t>Mandatory WL. flag bit[15] media scan, [14] read disturb scan, [13] LP in RD scan [12] XP in RD scan, [11] NDEP in media scan, [10:9] reserved; [8:0] WL number, WL14 RDCG</t>
  </si>
  <si>
    <t>MANDATORY_WL_12</t>
  </si>
  <si>
    <t>Mandatory WL. flag bit[15] media scan, [14] read disturb scan, [13] LP in RD scan [12] XP in RD scan, [11] NDEP in media scan, [10:9] reserved; [8:0] WL number, WL120 RDCG</t>
  </si>
  <si>
    <t>MANDATORY_WL_13</t>
  </si>
  <si>
    <t>Mandatory WL. flag bit[15] media scan, [14] read disturb scan, [13] LP in RD scan [12] XP in RD scan, [11] NDEP in media scan, [10:9] reserved; [8:0] WL number, WL146 RDCG</t>
  </si>
  <si>
    <t>MANDATORY_WL_14</t>
  </si>
  <si>
    <t>Mandatory WL. flag bit[15] media scan, [14] read disturb scan, [13] LP in RD scan [12] XP in RD scan, [11] NDEP in media scan, [10:9] reserved; [8:0] WL number, WL274 RDCG</t>
  </si>
  <si>
    <t>MANDATORY_WL_15</t>
  </si>
  <si>
    <t>Mandatory WL. flag bit[15] media scan, [14] read disturb scan, [13] LP in RD scan [12] XP in RD scan, [11] NDEP in media scan, [10:9] reserved; [8:0] WL number, WL44 RDCL</t>
  </si>
  <si>
    <t>MANDATORY_WL_16</t>
  </si>
  <si>
    <t>Mandatory WL. flag bit[15] media scan, [14] read disturb scan, [13] LP in RD scan [12] XP in RD scan, [11] NDEP in media scan, [10:9] reserved; [8:0] WL number, WL55 RDCL</t>
  </si>
  <si>
    <t>MANDATORY_WL_17</t>
  </si>
  <si>
    <t>Mandatory WL. flag bit[15] media scan, [14] read disturb scan, [13] LP in RD scan [12] XP in RD scan, [11] NDEP in media scan, [10:9] reserved; [8:0] WL number, WL66 RDCL</t>
  </si>
  <si>
    <t>MANDATORY_WL_18</t>
  </si>
  <si>
    <t>Mandatory WL. flag bit[15] media scan, [14] read disturb scan, [13] LP in RD scan [12] XP in RD scan, [11] NDEP in media scan, [10:9] reserved; [8:0] WL number, WL67 RDCL</t>
  </si>
  <si>
    <t>MANDATORY_WL_19</t>
  </si>
  <si>
    <t>Mandatory WL. flag bit[15] media scan, [14] read disturb scan, [13] LP in RD scan [12] XP in RD scan, [11] NDEP in media scan, [10:9] reserved; [8:0] WL number, WL70 RDCL</t>
  </si>
  <si>
    <t>MANDATORY_WL_20</t>
  </si>
  <si>
    <t>Mandatory WL. flag bit[15] media scan, [14] read disturb scan, [13] LP in RD scan [12] XP in RD scan, [11] NDEP in media scan, [10:9] reserved; [8:0] WL number, WL71 RDCL</t>
  </si>
  <si>
    <t>MANDATORY_WL_21</t>
  </si>
  <si>
    <t>Mandatory WL. flag bit[15] media scan, [14] read disturb scan, [13] LP in RD scan [12] XP in RD scan, [11] NDEP in media scan, [10:9] reserved; [8:0] WL number, WL74 RDCL</t>
  </si>
  <si>
    <t>MANDATORY_WL_22</t>
  </si>
  <si>
    <t>Mandatory WL. flag bit[15] media scan, [14] read disturb scan, [13] LP in RD scan [12] XP in RD scan, [11] NDEP in media scan, [10:9] reserved; [8:0] WL number, WL76 RDCL</t>
  </si>
  <si>
    <t>MANDATORY_WL_23</t>
  </si>
  <si>
    <t>Mandatory WL. flag bit[15] media scan, [14] read disturb scan, [13] LP in RD scan [12] XP in RD scan, [11] NDEP in media scan, [10:9] reserved; [8:0] WL number, WL78 RDCL</t>
  </si>
  <si>
    <t>MANDATORY_WL_24</t>
  </si>
  <si>
    <t>Mandatory WL. flag bit[15] media scan, [14] read disturb scan, [13] LP in RD scan [12] XP in RD scan, [11] NDEP in media scan, [10:9] reserved; [8:0] WL number, WL201 RDCL</t>
  </si>
  <si>
    <t>MANDATORY_WL_25</t>
  </si>
  <si>
    <t>Mandatory WL. flag bit[15] media scan, [14] read disturb scan, [13] LP in RD scan [12] XP in RD scan, [11] NDEP in media scan, [10:9] reserved; [8:0] WL number, WL203 RDCL</t>
  </si>
  <si>
    <t>MANDATORY_WL_26</t>
  </si>
  <si>
    <t>Mandatory WL. flag bit[15] media scan, [14] read disturb scan, [13] LP in RD scan [12] XP in RD scan, [11] NDEP in media scan, [10:9] reserved; [8:0] WL number, WL212 RDCL</t>
  </si>
  <si>
    <t>MANDATORY_WL_27</t>
  </si>
  <si>
    <t>Mandatory WL. flag bit[15] media scan, [14] read disturb scan, [13] LP in RD scan [12] XP in RD scan, [11] NDEP in media scan, [10:9] reserved; [8:0] WL number, WL220 RDCL</t>
  </si>
  <si>
    <t>MANDATORY_WL_28</t>
  </si>
  <si>
    <t>Mandatory WL. flag bit[15] media scan, [14] read disturb scan, [13] LP in RD scan [12] XP in RD scan, [11] NDEP in media scan, [10:9] reserved; [8:0] WL number, WL222 RDCL</t>
  </si>
  <si>
    <t>MANDATORY_WL_29</t>
  </si>
  <si>
    <t>Mandatory WL. flag bit[15] media scan, [14] read disturb scan, [13] LP in RD scan [12] XP in RD scan, [11] NDEP in media scan, [10:9] reserved; [8:0] WL number, WL227 RDCL</t>
  </si>
  <si>
    <t>MANDATORY_WL_30</t>
  </si>
  <si>
    <t>Mandatory WL. flag bit[15] media scan, [14] read disturb scan, [13] LP in RD scan [12] XP in RD scan, [11] NDEP in media scan, [10:9] reserved; [8:0] WL number, WL280 RDCL</t>
  </si>
  <si>
    <t>PB_FB_ALL_LEVEL</t>
  </si>
  <si>
    <t>PB_INNER_BIN0_LV1</t>
  </si>
  <si>
    <t>partial block/HGB inner WL bin0 offset</t>
  </si>
  <si>
    <t>PB_INNER_BIN0_LV234</t>
  </si>
  <si>
    <t>PB_INNER_BIN0_LV567</t>
  </si>
  <si>
    <t>PB_INNER_BIN1_LV1</t>
  </si>
  <si>
    <t>partial block/HGB inner WL bin1 offset</t>
  </si>
  <si>
    <t>PB_INNER_BIN1_LV234</t>
  </si>
  <si>
    <t>PB_INNER_BIN1_LV567</t>
  </si>
  <si>
    <t>PB_INNER_BIN2_LV1</t>
  </si>
  <si>
    <t>partial block/HGB inner WL bin2 offset</t>
  </si>
  <si>
    <t>PB_INNER_BIN2_LV234</t>
  </si>
  <si>
    <t>PB_INNER_BIN2_LV567</t>
  </si>
  <si>
    <t>PB_BOUNDARY_BIN0_LV1</t>
  </si>
  <si>
    <t>partial block/HGB boundary WL bin0 offset</t>
  </si>
  <si>
    <t>PB_BOUNDARY_BIN0_LV234</t>
  </si>
  <si>
    <t>PB_BOUNDARY_BIN0_LV567</t>
  </si>
  <si>
    <t>PB_BOUNDARY_BIN1_LV1</t>
  </si>
  <si>
    <t>partial block/HGB boundary WL bin1 offset</t>
  </si>
  <si>
    <t>PB_BOUNDARY_BIN1_LV234</t>
  </si>
  <si>
    <t>PB_BOUNDARY_BIN1_LV567</t>
  </si>
  <si>
    <t>PB_BOUNDARY_BIN2_LV1</t>
  </si>
  <si>
    <t>partial block/HGB boundary WL bin2 offset</t>
  </si>
  <si>
    <t>PB_BOUNDARY_BIN2_LV234</t>
  </si>
  <si>
    <t>PB_BOUNDARY_BIN2_LV567</t>
  </si>
  <si>
    <t>PB_BOUNDARY_BIN3_LV1</t>
  </si>
  <si>
    <t>partial block/HGB boundary WL bin3 offset</t>
  </si>
  <si>
    <t>PB_BOUNDARY_BIN3_LV234</t>
  </si>
  <si>
    <t>PB_BOUNDARY_BIN3_LV567</t>
  </si>
  <si>
    <t>PB_INNER_BIN0_LWP</t>
  </si>
  <si>
    <t>partial block/HGB inner WL Bin0 last written page order index (subblock index)</t>
  </si>
  <si>
    <t>PB_INNER_BIN1_LWP</t>
  </si>
  <si>
    <t>partial block/HGB inner WL Bin1 last written page order index (subblock index)</t>
  </si>
  <si>
    <t>PB_INNER_BIN2_LWP</t>
  </si>
  <si>
    <t>partial block/HGB inner WL Bin2 last written page order index (subblock index)</t>
  </si>
  <si>
    <t>PB_BOUNDARY_BIN0_LWP</t>
  </si>
  <si>
    <t>partial block/HGB boundary WL Bin0 last written page order index (subblock index)</t>
  </si>
  <si>
    <t>PB_BOUNDARY_BIN1_LWP</t>
  </si>
  <si>
    <t>partial block/HGB boundary WL Bin1 last written page order index (subblock index)</t>
  </si>
  <si>
    <t>PB_BOUNDARY_BIN2_LWP</t>
  </si>
  <si>
    <t>partial block/HGB boundary WL Bin2 last written page order index (subblock index)</t>
  </si>
  <si>
    <t>SGS Maintenance</t>
  </si>
  <si>
    <t>SGSSCAN_RC_TH</t>
  </si>
  <si>
    <t>Drive level read count threshold to enable SGS scan for SLC and TLC blocks. Based on 1 die configuration. Linearly scale up with 2/4/8 die configuration.</t>
  </si>
  <si>
    <t>x1B RC</t>
  </si>
  <si>
    <t>SGSSCAN_RC_0</t>
  </si>
  <si>
    <t>Drive level read count threshold for SGSSCAN_W_0 window on SLC/TLC. Based on 1 die configuration. Linearly scale up with 2/4/8 die configuration.</t>
  </si>
  <si>
    <t>SGSSCAN_RC_1</t>
  </si>
  <si>
    <t>Drive level read count threshold for SGSSCAN_W_1 window on SLC/TLC. Based on 1 die configuration. Linearly scale up with 2/4/8 die configuration.</t>
  </si>
  <si>
    <t>SGSSCAN_RC_2</t>
  </si>
  <si>
    <t>Drive level read count threshold for SGSSCAN_W_2 window on SLC/TLC. Based on 1 die configuration. Linearly scale up with 2/4/8 die configuration.</t>
  </si>
  <si>
    <t>SGSSCAN_RC_3</t>
  </si>
  <si>
    <t>Drive level read count threshold for SGSSCAN_W_3 window on SLC/TLC. Based on 1 die configuration. Linearly scale up with 2/4/8 die configuration.</t>
  </si>
  <si>
    <t>SGSSCAN_W_0</t>
  </si>
  <si>
    <t>SGS scan window when drive level read count &lt; SGSSCAN_RC_0. Based on 1 die configuration. Linearly scale up with 2/4/8 die configuration.</t>
  </si>
  <si>
    <t>x1M</t>
  </si>
  <si>
    <t>SGSSCAN_W_1</t>
  </si>
  <si>
    <t>SGS scan window when drive level read count &lt; SGSSCAN_RC_1. Based on 1 die configuration. Linearly scale up with 2/4/8 die configuration.</t>
  </si>
  <si>
    <t>SGSSCAN_W_2</t>
  </si>
  <si>
    <t>SGS scan window when drive level read count &lt; SGSSCAN_RC_2. Based on 1 die configuration. Linearly scale up with 2/4/8 die configuration.</t>
  </si>
  <si>
    <t>SGSSCAN_W_3</t>
  </si>
  <si>
    <t>SGS scan window when drive level read count &lt; SGSSCAN_RC_3. Based on 1 die configuration. Linearly scale up with 2/4/8 die configuration.</t>
  </si>
  <si>
    <t>SGSSCAN_W_4</t>
  </si>
  <si>
    <t>SGS scan window when drive level read count &gt;= SGSSCAN_RC_3. Based on 1 die configuration. Linearly scale up with 2/4/8 die configuration.</t>
  </si>
  <si>
    <t>SGS_TOUCHUP_ERASE_SWITCH</t>
  </si>
  <si>
    <t>SGS scan touchup or no touch up (1 - touch up;  2 - no touch up but add special erase; 3 -special erase if touch up fails )</t>
  </si>
  <si>
    <t>reserved</t>
  </si>
  <si>
    <t>Read disturb /read refresh scan</t>
  </si>
  <si>
    <t>TLC_EC_RC_TH_FB0</t>
  </si>
  <si>
    <t>read limits for TLC full block in EC group 0 (multiples of 1000)</t>
  </si>
  <si>
    <t>x1000 RC</t>
  </si>
  <si>
    <t>TLC_EC_RC_TH_FB1</t>
  </si>
  <si>
    <t>read limits for TLC full block in EC group 1 (multiples of 1000)</t>
  </si>
  <si>
    <t>TLC_EC_RC_TH_FB2</t>
  </si>
  <si>
    <t>read limits for TLC full block in EC group 2 (multiples of 1000)</t>
  </si>
  <si>
    <t>TLC_EC_RC_TH_FB3</t>
  </si>
  <si>
    <t>read limits for TLC full block in EC group 3 (multiples of 1000)</t>
  </si>
  <si>
    <t>TLC_EC_RC_TH_FB4</t>
  </si>
  <si>
    <t>read limits for TLC full block in EC group 4 (multiples of 1000)</t>
  </si>
  <si>
    <t>TLC_EC_RC_TH_PB0</t>
  </si>
  <si>
    <t>read limits for TLC partial block in EC group 0 (multiples of 1000)</t>
  </si>
  <si>
    <t>TLC_EC_RC_TH_PB1</t>
  </si>
  <si>
    <t>read limits for TLC partial block in EC group 1 (multiples of 1000)</t>
  </si>
  <si>
    <t>TLC_EC_RC_TH_PB2</t>
  </si>
  <si>
    <t>read limits for TLC partial block in EC group 2 (multiples of 1000)</t>
  </si>
  <si>
    <t>TLC_EC_RC_TH_PB3</t>
  </si>
  <si>
    <t>read limits for TLC partial block in EC group 3 (multiples of 1000)</t>
  </si>
  <si>
    <t>TLC_EC_RC_TH_PB4</t>
  </si>
  <si>
    <t>read limits for TLC partial block in EC group 4 (multiples of 1000)</t>
  </si>
  <si>
    <t>PSA_SLC_RC_TH_FB0_&amp;_PB0</t>
  </si>
  <si>
    <t>read limits for PSA SLC full and partial block (multiples of 1000)</t>
  </si>
  <si>
    <t>SLC_EC_RC_TH_FB0</t>
  </si>
  <si>
    <t>read limits for SLC/EM1 full block in EC group 0 (multiples of 1000)</t>
  </si>
  <si>
    <t>SLC_EC_RC_TH_FB1</t>
  </si>
  <si>
    <t>read limits for SLC/EM1 full block in EC group 1 (multiples of 1000)</t>
  </si>
  <si>
    <t>SLC_EC_RC_TH_FB2</t>
  </si>
  <si>
    <t>read limits for SLC/EM1 full block in EC group 2 (multiples of 1000)</t>
  </si>
  <si>
    <t>SLC_EC_RC_TH_FB3</t>
  </si>
  <si>
    <t>read limits for SLC/EM1 full block in EC group 3 (multiples of 1000)</t>
  </si>
  <si>
    <t>SLC_EC_RC_TH_FB4</t>
  </si>
  <si>
    <t>read limits for SLC/EM1 full block in EC group 4 (multiples of 1000)</t>
  </si>
  <si>
    <t>SLC_EC_RC_TH_PB0</t>
  </si>
  <si>
    <t>read limits for SLC/EM1 partial block in EC group 0 (multiples of 1000)</t>
  </si>
  <si>
    <t>SLC_EC_RC_TH_PB1</t>
  </si>
  <si>
    <t>read limits for SLC/EM1 partial block in EC group 1 (multiples of 1000)</t>
  </si>
  <si>
    <t>SLC_EC_RC_TH_PB2</t>
  </si>
  <si>
    <t>read limits for SLC/EM1 partial block in EC group 2 (multiples of 1000)</t>
  </si>
  <si>
    <t>SLC_EC_RC_TH_PB3</t>
  </si>
  <si>
    <t>read limits for SLC/EM1 partial block in EC group 3 (multiples of 1000)</t>
  </si>
  <si>
    <t>SLC_EC_RC_TH_PB4</t>
  </si>
  <si>
    <t>read limits for SLC/EM1 partial block in EC group 4 (multiples of 1000)</t>
  </si>
  <si>
    <t>TLC_EC_0</t>
  </si>
  <si>
    <t>TLC EC group0 (multiples of 100)</t>
  </si>
  <si>
    <t>x100 EC</t>
  </si>
  <si>
    <t>TLC_EC_1</t>
  </si>
  <si>
    <t>TLC EC group1 (multiples of 100)</t>
  </si>
  <si>
    <t>TLC_EC_2</t>
  </si>
  <si>
    <t>TLC EC group2 (multiples of 100)</t>
  </si>
  <si>
    <t>TLC_EC_3</t>
  </si>
  <si>
    <t>TLC EC group3 (multiples of 100)</t>
  </si>
  <si>
    <t>TLC_EC_4</t>
  </si>
  <si>
    <t>TLC EC group4 (multiples of 100)</t>
  </si>
  <si>
    <t>SLC_EC_0</t>
  </si>
  <si>
    <t>SLC/EM1 EC group0 (multiples of 100)</t>
  </si>
  <si>
    <t>SLC_EC_1</t>
  </si>
  <si>
    <t>SLC/EM1 EC group1 (multiples of 100)</t>
  </si>
  <si>
    <t>SLC_EC_2</t>
  </si>
  <si>
    <t>SLC/EM1 EC group2 (multiples of 100)</t>
  </si>
  <si>
    <t>SLC_EC_3</t>
  </si>
  <si>
    <t>SLC/EM1 EC group3 (multiples of 100)</t>
  </si>
  <si>
    <t>SLC_EC_4</t>
  </si>
  <si>
    <t>SLC/EM1 EC group4 (multiples of 100)</t>
  </si>
  <si>
    <t>SF_0</t>
  </si>
  <si>
    <t>%</t>
  </si>
  <si>
    <t>SF_1</t>
  </si>
  <si>
    <t>SF_2</t>
  </si>
  <si>
    <t>SF_3</t>
  </si>
  <si>
    <t>SF_4</t>
  </si>
  <si>
    <t>RBER_FB_SF_0</t>
  </si>
  <si>
    <t>Per 4K</t>
  </si>
  <si>
    <t>RBER_FB_SF_1</t>
  </si>
  <si>
    <t>RBER_FB_SF_2</t>
  </si>
  <si>
    <t>RBER_FB_SF_3</t>
  </si>
  <si>
    <t>RBER_FB_SF_4</t>
  </si>
  <si>
    <t>RC_ALL_WL_SCAN</t>
  </si>
  <si>
    <t>the read count threhold of a VB to trigger scan on every WL, only mandatory/neighbor WLs are scanned before reaching this threshold</t>
  </si>
  <si>
    <t>x 1 million RC</t>
  </si>
  <si>
    <t>FPR_DELAY</t>
  </si>
  <si>
    <t>Time delay required after the first page read in a candidate block to mitigate the higher RBER impact due to the first page read issue.</t>
  </si>
  <si>
    <t>ms</t>
  </si>
  <si>
    <t>Read Error Handling</t>
  </si>
  <si>
    <t>RR mask_LSB</t>
  </si>
  <si>
    <t>LSB RR mask to enable/disable REH steps (1= enable,0=disable)</t>
  </si>
  <si>
    <t>RR mask_MSB</t>
  </si>
  <si>
    <t>MSB RR mask to enable/disable REH steps (1= enable,0=disable)</t>
  </si>
  <si>
    <t>BF_UPDATE_START_WL_1</t>
  </si>
  <si>
    <t>start WL of WL range 1 that allows BF bin update, need to ensure they don’t overlap with Xtemp weak WLs</t>
  </si>
  <si>
    <t>WL</t>
  </si>
  <si>
    <t>BF_UPDATE_END_WL_1</t>
  </si>
  <si>
    <t>end WL of WL range 1 that allows BF bin update, need to ensure they don’t overlap with Xtemp weak WLs</t>
  </si>
  <si>
    <t>BF_UPDATE_START WL_2</t>
  </si>
  <si>
    <t>start WL of WL range 2 that allows BF bin update, need to ensure they don’t overlap with Xtemp weak WLs</t>
  </si>
  <si>
    <t>BF_UPDATE_END WL_2</t>
  </si>
  <si>
    <t>end WL of WL range 2 that allows BF bin update, need to ensure they don’t overlap with Xtemp weak WLs</t>
  </si>
  <si>
    <t>ECR_TEMP_THRESHOLD</t>
  </si>
  <si>
    <t>Temp below which enhanced trim is applied during CR</t>
  </si>
  <si>
    <t>C</t>
  </si>
  <si>
    <t>TLC_OFFSET_TRIGGER_REFRESH</t>
  </si>
  <si>
    <t>absolute read offset threshold that will trigger refresh on TLC pages</t>
  </si>
  <si>
    <t>DAC</t>
  </si>
  <si>
    <t>MLC_OFFSET_TRIGGER_REFRESH</t>
  </si>
  <si>
    <t>absolute read offset threshold that will trigger refresh on MLC pages</t>
  </si>
  <si>
    <t>SLC_OFFSET_TRIGGER_REFRESH</t>
  </si>
  <si>
    <t>absolute read offset threshold that will trigger refresh on SLC pages</t>
  </si>
  <si>
    <t>CTE_C_SLC_V1</t>
  </si>
  <si>
    <t>Maximum CFBit steps for SLC valley 1.</t>
  </si>
  <si>
    <t>CTE_C_MLC_V1</t>
  </si>
  <si>
    <t>Maximum CFBit steps for MLC valley 1.</t>
  </si>
  <si>
    <t>CTE_C_MLC_not_V1</t>
  </si>
  <si>
    <t>Maximum CFBit steps for MLC valley 2 to 3.</t>
  </si>
  <si>
    <t>CTE_C_TLC_V1</t>
  </si>
  <si>
    <t>Maximum CFBit steps for TLC valley 1.</t>
  </si>
  <si>
    <t>CTE_C_TLC_not_V1</t>
  </si>
  <si>
    <t>Maximum CFBit steps for TLC valley 2 to 7.</t>
  </si>
  <si>
    <t>CTE_S_SLC_V1</t>
  </si>
  <si>
    <t>Maximum SureARC steps for SLC valley 1.</t>
  </si>
  <si>
    <t>CTE_S_MLC_V1</t>
  </si>
  <si>
    <t>Maximum SureARC steps for MLC valley 1.</t>
  </si>
  <si>
    <t>CTE_S_MLC_not_V1</t>
  </si>
  <si>
    <t>Maximum SureARC steps for MLC valley 2 to 3.</t>
  </si>
  <si>
    <t>CTE_S_TLC_V1</t>
  </si>
  <si>
    <t>Maximum SureARC steps for TLC valley 1.</t>
  </si>
  <si>
    <t>CTE_S_TLC_not_V1</t>
  </si>
  <si>
    <t>Maximum SureARC steps for TLC valley 2 to 7.</t>
  </si>
  <si>
    <t>CTE_CFBit_Th_SLC_V1</t>
  </si>
  <si>
    <t>CFBit_delta acceptance threshold for SLC valley 1. Normalized to 1 byte</t>
  </si>
  <si>
    <t>unsigned</t>
  </si>
  <si>
    <t>CTE_CFBit_Th_MLC_V1</t>
  </si>
  <si>
    <t>CFBit_delta acceptance threshold for MLC valley 1. Normalized to 1 byte</t>
  </si>
  <si>
    <t>CTE_CFBit_Th_MLC_V2</t>
  </si>
  <si>
    <t>CFBit_delta acceptance threshold for MLC valley 2. Normalized to 1 byte</t>
  </si>
  <si>
    <t>CTE_CFBit_Th_MLC_V3</t>
  </si>
  <si>
    <t>CFBit_delta acceptance threshold for MLC valley 3. Normalized to 1 byte</t>
  </si>
  <si>
    <t>CTE_CFBit_Th_TLC_V1</t>
  </si>
  <si>
    <t>CFBit_delta acceptance threshold for TLC valley 1. Normalized to 1 byte</t>
  </si>
  <si>
    <t>CTE_CFBit_Th_TLC_V2</t>
  </si>
  <si>
    <t>CFBit_delta acceptance threshold for TLC valley 2. Normalized to 1 byte</t>
  </si>
  <si>
    <t>CTE_CFBit_Th_TLC_V3</t>
  </si>
  <si>
    <t>CFBit_delta acceptance threshold for TLC valley 3. Normalized to 1 byte</t>
  </si>
  <si>
    <t>CTE_CFBit_Th_TLC_V4</t>
  </si>
  <si>
    <t>CFBit_delta acceptance threshold for TLC valley 4. Normalized to 1 byte</t>
  </si>
  <si>
    <t>CTE_CFBit_Th_TLC_V5</t>
  </si>
  <si>
    <t>CFBit_delta acceptance threshold for TLC valley 5. Normalized to 1 byte</t>
  </si>
  <si>
    <t>CTE_CFBit_Th_TLC_V6</t>
  </si>
  <si>
    <t>CFBit_delta acceptance threshold for TLC valley 6. Normalized to 1 byte</t>
  </si>
  <si>
    <t>CTE_CFBit_Th_TLC_V7</t>
  </si>
  <si>
    <t>CFBit_delta acceptance threshold for TLC valley 7. Normalized to 1 byte</t>
  </si>
  <si>
    <t>CTE_SureARC_MovingAveWin_SLC_V1</t>
  </si>
  <si>
    <t>SureARC moving average windows for SLC valley 1.</t>
  </si>
  <si>
    <t>CTE_SureARC_MovingAveWin_MLC_V1</t>
  </si>
  <si>
    <t>SureARC moving average windows for MLC valley 1.</t>
  </si>
  <si>
    <t>CTE_SureARC_MovingAveWin_MLC_not_V1</t>
  </si>
  <si>
    <t>SureARC moving average windows for MLC valley 2 to 3.</t>
  </si>
  <si>
    <t>CTE_SureARC_MovingAveWin_TLC_V1</t>
  </si>
  <si>
    <t>SureARC moving average windows for TLC valley 1.</t>
  </si>
  <si>
    <t>CTE_SureARC_MovingAveWin_TLC_not_V1</t>
  </si>
  <si>
    <t>SureARC moving average windows for TLC valley 2 to 7.</t>
  </si>
  <si>
    <t>CTE_SureARC_Gap_SLC_V1</t>
  </si>
  <si>
    <t>Gap (bin width) in SureARC for SLC valley 1</t>
  </si>
  <si>
    <t>CTE_SureARC_Gap_MLC_V1</t>
  </si>
  <si>
    <t>Gap (bin width) in SureARC for MLC valley 1</t>
  </si>
  <si>
    <t>CTE_SureARC_Gap_MLC_not_V1</t>
  </si>
  <si>
    <t>Gap (bin width) in SureARC for MLC valley 2 to 3</t>
  </si>
  <si>
    <t>CTE_SureARC_Gap_TLC_V1</t>
  </si>
  <si>
    <t>Gap (bin width) in SureARC for TLC valley 1</t>
  </si>
  <si>
    <t>CTE_SureARC_Gap_TLC_not_V1</t>
  </si>
  <si>
    <t>Gap (bin width) in SureARC for TLC valley 2 to 7</t>
  </si>
  <si>
    <t>CTE_SureARC_MinHistoHeightTh_SLC</t>
  </si>
  <si>
    <t>SureARC minimum histogram height threshold for SLC.</t>
  </si>
  <si>
    <t>CTE_SureARC_MinHistoHeightTh_MLC</t>
  </si>
  <si>
    <t>SureARC minimum histogram height threshold for MLC.</t>
  </si>
  <si>
    <t>CTE_SureARC_MinHistoHeightTh_TLC</t>
  </si>
  <si>
    <t>SureARC minimum histogram height threshold for TLC.</t>
  </si>
  <si>
    <t>CTE_SureARC_Sum3BinTh_SLC</t>
  </si>
  <si>
    <t>SureARC sum of 3 bins threshold for SLC.</t>
  </si>
  <si>
    <t>CTE_SureARC_Sum3BinTh_MLC</t>
  </si>
  <si>
    <t>SureARC sum of 3 bins threshold for MLC.</t>
  </si>
  <si>
    <t>CTE_SureARC_Sum3BinTh_TLC</t>
  </si>
  <si>
    <t>SureARC sum of 3 bins threshold for TLC.</t>
  </si>
  <si>
    <t>CTE_SureARC_CFBitPeakTh_SLC</t>
  </si>
  <si>
    <t>SureARC peak threshold for SLC V1.</t>
  </si>
  <si>
    <t>CTE_SureARC_CFBitPeakTh_MLC_V1</t>
  </si>
  <si>
    <t>SureARC peak threshold for MLC V1.</t>
  </si>
  <si>
    <t>CTE_SureARC_CFBitPeakTh_MLC_V2</t>
  </si>
  <si>
    <t>SureARC peak threshold for MLC V2.</t>
  </si>
  <si>
    <t>CTE_SureARC_CFBitPeakTh_MLC_V3</t>
  </si>
  <si>
    <t>SureARC peak threshold for MLC V3.</t>
  </si>
  <si>
    <t>CTE_SureARC_CFBitPeakTh_TLC_V1</t>
  </si>
  <si>
    <t>SureARC peak threshold for TLC V1.</t>
  </si>
  <si>
    <t>CTE_SureARC_CFBitPeakTh_TLC_V2</t>
  </si>
  <si>
    <t>SureARC peak threshold for TLC V2.</t>
  </si>
  <si>
    <t>CTE_SureARC_CFBitPeakTh_TLC_V3</t>
  </si>
  <si>
    <t>SureARC peak threshold for TLC V3.</t>
  </si>
  <si>
    <t>CTE_SureARC_CFBitPeakTh_TLC_V4</t>
  </si>
  <si>
    <t>SureARC peak threshold for TLC V4.</t>
  </si>
  <si>
    <t>CTE_SureARC_CFBitPeakTh_TLC_V5</t>
  </si>
  <si>
    <t>SureARC peak threshold for TLC V5.</t>
  </si>
  <si>
    <t>CTE_SureARC_CFBitPeakTh_TLC_V6</t>
  </si>
  <si>
    <t>SureARC peak threshold for TLC V6.</t>
  </si>
  <si>
    <t>CTE_SureARC_CFBitPeakTh_TLC_V7</t>
  </si>
  <si>
    <t>SureARC peak threshold for TLC V7.</t>
  </si>
  <si>
    <t>CTE_Defect_CFBit_TLC</t>
  </si>
  <si>
    <t>CTE defect detection: CFBit delta for TLC</t>
  </si>
  <si>
    <t>REH_STEP_TRIGGER_REFRESH</t>
  </si>
  <si>
    <t>SureARC step to trigger refresh</t>
  </si>
  <si>
    <t>Reserved for REH</t>
  </si>
  <si>
    <t>BFEA</t>
  </si>
  <si>
    <t>SCAN_FBC_THRESHOLD</t>
  </si>
  <si>
    <t>FBC threshold to stop scanning more bins</t>
  </si>
  <si>
    <t>SCAN_SW_THRESHOLD</t>
  </si>
  <si>
    <t>Syndrom weight threshold where BF bin assignment can be based on SW (multiples of 10)</t>
  </si>
  <si>
    <t>x10</t>
  </si>
  <si>
    <t>FB_SCAN_WL_MIN</t>
  </si>
  <si>
    <t>minimum WL for BF Scan block (scan XP only)</t>
  </si>
  <si>
    <t>FB_SCAN_WL_MAX</t>
  </si>
  <si>
    <t>maximum WL for BF Scan in full block (scan XP only)</t>
  </si>
  <si>
    <t>PB_SCAN_PAGE</t>
  </si>
  <si>
    <t>page number used for BF scan in a partial block</t>
  </si>
  <si>
    <t>PB_SCAN_ENABLE_PAGE_GAP</t>
  </si>
  <si>
    <t>the gap from last written page to the scan page to enable BF scan</t>
  </si>
  <si>
    <t>PB_REFRESH_BIN</t>
  </si>
  <si>
    <t>a BF bin greater than this value will cause the open block to be refreshed</t>
  </si>
  <si>
    <t>BF_SCAN_GROUP0_CADENCE</t>
  </si>
  <si>
    <t>group 0 scan frequency (multiples of 10)</t>
  </si>
  <si>
    <t>x10 mins</t>
  </si>
  <si>
    <t>BF_SCAN_GROUP1_CADENCE</t>
  </si>
  <si>
    <t>group 1 scan frequency (multiples of 10)</t>
  </si>
  <si>
    <t>BF_SCAN_GROUP2_CADENCE</t>
  </si>
  <si>
    <t>group 2 scan frequency (multiples of 10)</t>
  </si>
  <si>
    <t>FOREGROUND_SCAN_PAGE_ INTERVAL</t>
  </si>
  <si>
    <t>delay between page read in foreground scan in seconds</t>
  </si>
  <si>
    <t>seconds</t>
  </si>
  <si>
    <t>REH_BIN_UPDATE_FBC_THRESHOLD</t>
  </si>
  <si>
    <t>FBC threshold to allow bin update in REH</t>
  </si>
  <si>
    <t>MAX_QUICK_BF_SCAN</t>
  </si>
  <si>
    <t>Media Scan</t>
  </si>
  <si>
    <t>MS_SCAN_INSTANCE_FREQ</t>
  </si>
  <si>
    <t>Hours per one Media scan instance</t>
  </si>
  <si>
    <t>hours</t>
  </si>
  <si>
    <t>NUM_SCAN_GROUP_PER_BLOCK</t>
  </si>
  <si>
    <t>Number of scan groups per block</t>
  </si>
  <si>
    <t>Unsigned</t>
  </si>
  <si>
    <t>MS_OPEN_CURSOR_FREQ</t>
  </si>
  <si>
    <t>Required rate of scanning open blocks (in hours)</t>
  </si>
  <si>
    <t>MS_FULL_SCAN_GRP_INSTANCE_FREQ</t>
  </si>
  <si>
    <t>Hours per one Full Scan Group Instance</t>
  </si>
  <si>
    <t>Hours</t>
  </si>
  <si>
    <t>ACTIVE_AWAKE_SCAN_FREQ_LSB</t>
  </si>
  <si>
    <t>Media Scan active awake freq in ms</t>
  </si>
  <si>
    <t>BIN_HIGH</t>
  </si>
  <si>
    <t xml:space="preserve">BIN_HIGH . Blocks with higher bin than this are queud for folding </t>
  </si>
  <si>
    <t>BIN_LOW</t>
  </si>
  <si>
    <t>BIN_LOW . Blocks with lower bin than this are excluded from scan</t>
  </si>
  <si>
    <t>VHC_XTEMP_forgive_EC</t>
  </si>
  <si>
    <t>the extra CenterEC allowed per page in valley health check when XTEMP is above the threshold (40C)</t>
  </si>
  <si>
    <t xml:space="preserve">MS_IDLE_BURST_PAGE </t>
  </si>
  <si>
    <t>the minimum page number scan during idle time before entering low power mode</t>
  </si>
  <si>
    <t>Media Scan - Erase page check</t>
  </si>
  <si>
    <t>MS_NDEP_DSLC_OFFSET</t>
  </si>
  <si>
    <t>MS_NDEP_SSLC_OFFSET</t>
  </si>
  <si>
    <t>MS_EPC_CFBYTE_SLC_PER_2KB</t>
  </si>
  <si>
    <t>Erase page check of SLC block; this is set through feature addr 93h P3, P3 byte is per page criteria so firmware needs to multiply this value by 8.</t>
  </si>
  <si>
    <t>Per 2KB</t>
  </si>
  <si>
    <t>MS_EPC_TSLC_VAL</t>
  </si>
  <si>
    <t>TLC block SLC edge page read base.</t>
  </si>
  <si>
    <t>MS_EPC_TMLV1_VAL</t>
  </si>
  <si>
    <t>TLC block LP in MLC page read base.</t>
  </si>
  <si>
    <t>MS_EPC_TTLV1_VAL</t>
  </si>
  <si>
    <t>TLC block LP in TLC page read base.</t>
  </si>
  <si>
    <t>MS_EPC_CFBYTE_TLC_PER_2KB</t>
  </si>
  <si>
    <t>Erase page check of TLC block (SLC/MLC/TLC LP); this is set through feature addr 93h P3, P3 byte is per page criteria so firmware needs to multiply this value by 8</t>
  </si>
  <si>
    <t>BAD BLOCK RETIREMENT</t>
  </si>
  <si>
    <t>PSF_HIGH_BIN_VB_REFRESH</t>
  </si>
  <si>
    <t>Book VB to refresh after BB replacement if bin is greater than this</t>
  </si>
  <si>
    <t>SUB_BLOCK_UECC_CNT</t>
  </si>
  <si>
    <t>Retire a physical block when number of UP UECC in a subblock is greater or equal to this threshold</t>
  </si>
  <si>
    <t>WL_UECC_CNT</t>
  </si>
  <si>
    <t>Retire a physical block when number of UP UECC in 1 or 2 WL is greater or equal to this threshold</t>
  </si>
  <si>
    <t>READ SCAN</t>
  </si>
  <si>
    <t>READ_SCAN_SAFE_AREA</t>
  </si>
  <si>
    <t>safe area between last programmed WL and the last scanable WL</t>
  </si>
  <si>
    <t>READ_SCAN_TEMP_DELTA_TH</t>
  </si>
  <si>
    <t>Defined as absolute difference between the current read temperature and the write temperature of the sampled page. If the read/write temperature delta is outside this range we do not perform?RBER check on the sample page.</t>
  </si>
  <si>
    <t>1C</t>
  </si>
  <si>
    <t>TEMP_LOW</t>
  </si>
  <si>
    <t>temp below which is considered extreme and no block will be retired due to UECC</t>
  </si>
  <si>
    <t>TEMP_HIGH</t>
  </si>
  <si>
    <t>temp above which is considered extreme and no block will be retired due to UECC</t>
  </si>
  <si>
    <t xml:space="preserve">PAGE_TYPE_SELECT
</t>
  </si>
  <si>
    <t>select page type for read scan
1 = SCAN enabled, 0 = SCAN disabled
bit0: TLC WL LP
bit1: TLC WL UP
bit2: TLC WL XP
bit3: MLC WL LP
bit4: MLC WL UP
bit5: SLC WL LP</t>
  </si>
  <si>
    <t>page type</t>
  </si>
  <si>
    <t>SUBBLOCK_SELECT</t>
  </si>
  <si>
    <t>select subblock for read scan
1 = SCAN enabled, 0 = SCAN disabled
bit0: subblock 0
bit1: subblock 1
bit2: subblock 2
bit3: subblock 3</t>
  </si>
  <si>
    <t>TLC EOL NAND ENDURANCE</t>
  </si>
  <si>
    <t>TLC EOL NAND endurance</t>
  </si>
  <si>
    <t>define what TLC PEC is considered EOL (multiples of 100)</t>
  </si>
  <si>
    <t>x100 PEC</t>
  </si>
  <si>
    <t>APL - Erase page check</t>
  </si>
  <si>
    <t>erase page check threshold (page level) of SLC block; this is set through feature addr 93h P3, P3 byte is per page criteria so firmware needs to multiply this value by 8.</t>
  </si>
  <si>
    <t>Per 2K</t>
  </si>
  <si>
    <t>TLC block SLC edge page read base</t>
  </si>
  <si>
    <t>TLC block LP in MLC page read base</t>
  </si>
  <si>
    <t>TLC block LP in TLC page read base</t>
  </si>
  <si>
    <t>erase page check threshold (page level) of TLC block (SLC/MLC/TLC LP); this is set through feature addr 93h P3, P3 byte is per page criteria so firmware needs to multiply this value by 8.</t>
  </si>
  <si>
    <t>APL - PLJ</t>
  </si>
  <si>
    <t>r_sss_slc_PL_threshold</t>
  </si>
  <si>
    <t>the ECC threshold for static SLC block power loss check</t>
  </si>
  <si>
    <t>r_tss_edge_PL_threshold</t>
  </si>
  <si>
    <t>the ECC threshold for TLC block SLC edge page power loss check</t>
  </si>
  <si>
    <t>r_tmu_PL_threshold</t>
  </si>
  <si>
    <t>the ECC threshold for TLC block MLC page power loss check</t>
  </si>
  <si>
    <t>r_ttx_lv7_PL_threshold_WL_cluster0</t>
  </si>
  <si>
    <t>the ECC threshold for TLC block TLC page power loss check for WL cluster0</t>
  </si>
  <si>
    <t>r_ttx_lv7_PL_threshold_WL_cluster1</t>
  </si>
  <si>
    <t>the ECC threshold for TLC block TLC page power loss check for WL cluster1</t>
  </si>
  <si>
    <t>r_ttx_lv7_PL_threshold_WL_cluster2</t>
  </si>
  <si>
    <t>the ECC threshold for TLC block TLC page power loss check for WL cluster2</t>
  </si>
  <si>
    <t>r_ttx_lv7_PL_threshold_WL_cluster3</t>
  </si>
  <si>
    <t>the ECC threshold for TLC block TLC page power loss check for WL cluster3</t>
  </si>
  <si>
    <t>APL - Binary Search</t>
  </si>
  <si>
    <t>SLC_BSEARCH_OFFSET</t>
  </si>
  <si>
    <t>The 2Eh offset for POR SLC binary search (10mV/DAC)</t>
  </si>
  <si>
    <t>max programmed bits for erased page</t>
  </si>
  <si>
    <t>X-Temperature Refresh</t>
  </si>
  <si>
    <t>XTEMP_ENABLE_PEC</t>
  </si>
  <si>
    <t>Ave PEC at which to start enabling Xtemp refresh (multiples of 100)</t>
  </si>
  <si>
    <t>x100PEC</t>
  </si>
  <si>
    <t>XTEMP_TEMP_BUFFER</t>
  </si>
  <si>
    <t xml:space="preserve">Temperature histeresis </t>
  </si>
  <si>
    <t>XTEMP_TIME_DETECTION_VALUE</t>
  </si>
  <si>
    <t>Temperature measurement period in s</t>
  </si>
  <si>
    <t>XTEMP_Refresh_T1</t>
  </si>
  <si>
    <t>any data programmed below T1 is considered cold risky</t>
  </si>
  <si>
    <t>XTEMP_Refresh_T2</t>
  </si>
  <si>
    <t>any data programmed above T2 is considered hot risky</t>
  </si>
  <si>
    <t>FW Parameters</t>
  </si>
  <si>
    <t>TD_AAT_SOFT_AREA_ENTER</t>
  </si>
  <si>
    <t>Threshold for AAT soft area temperature enter</t>
  </si>
  <si>
    <t xml:space="preserve">UFS temperature = real temperature + 80 </t>
  </si>
  <si>
    <t>TD_AIT_SOFT_AREA_ENTER</t>
  </si>
  <si>
    <t>Threshold for AIT soft area temperature enter</t>
  </si>
  <si>
    <t>TD_SUPER_HIGH_AREA_ENTER</t>
  </si>
  <si>
    <t>Threshold for super-high area temperature enter</t>
  </si>
  <si>
    <t>TD_TOOLOW_AREA_ENTER</t>
  </si>
  <si>
    <t>Threshold for too-low area temperature enter</t>
  </si>
  <si>
    <t>FFU_Temperature_low_th</t>
  </si>
  <si>
    <t>Low temperature threshold for FFU</t>
  </si>
  <si>
    <t>FFU_Temperature_high_th</t>
  </si>
  <si>
    <t>High temperature threshold for FFU</t>
  </si>
  <si>
    <t>PSA_SLC_Temperature_low_th</t>
  </si>
  <si>
    <t>Low temperature threshold for PSA SLC</t>
  </si>
  <si>
    <t>PSA_SLC_Temperature_high_th</t>
  </si>
  <si>
    <t>High temperature threshold for PSA SLC</t>
  </si>
  <si>
    <t>RAIN</t>
  </si>
  <si>
    <t>Bit0 temp dump enable/Disable, bit1 Read back enable/disable</t>
  </si>
  <si>
    <t>TLC_data_block</t>
  </si>
  <si>
    <t>SLC_data_block_WB</t>
  </si>
  <si>
    <t>Bit0 temp dump enable/Disable</t>
  </si>
  <si>
    <t>SLC_data_block_EM1</t>
  </si>
  <si>
    <t>GC_Refresh_destination_Block</t>
  </si>
  <si>
    <t>Bit1 Read back enable/disable</t>
  </si>
  <si>
    <t>Reserved</t>
  </si>
  <si>
    <t>Xtemp_Weak_WL_1</t>
  </si>
  <si>
    <t>Xtemp weak WL</t>
  </si>
  <si>
    <t>Xtemp_Weak_WL_2</t>
  </si>
  <si>
    <t>Xtemp_Weak_WL_3</t>
  </si>
  <si>
    <t>Xtemp_Weak_WL_4</t>
  </si>
  <si>
    <t>Xtemp_Weak_WL_5</t>
  </si>
  <si>
    <t>Xtemp_Weak_WL_6</t>
  </si>
  <si>
    <t>Xtemp_Weak_WL_7</t>
  </si>
  <si>
    <t>Xtemp_Weak_WL_8</t>
  </si>
  <si>
    <t>Xtemp_Weak_WL_9</t>
  </si>
  <si>
    <t>Xtemp_Weak_WL_10</t>
  </si>
  <si>
    <t>Xtemp_Weak_WL_11</t>
  </si>
  <si>
    <t>Xtemp_Weak_WL_12</t>
  </si>
  <si>
    <t>Xtemp_Weak_WL_13</t>
  </si>
  <si>
    <t>Xtemp_Weak_WL_14</t>
  </si>
  <si>
    <t>Xtemp_Weak_WL_15</t>
  </si>
  <si>
    <t>Xtemp_Weak_WL_16</t>
  </si>
  <si>
    <t>Xtemp_Weak_WL_17</t>
  </si>
  <si>
    <t>Xtemp_Weak_WL_18</t>
  </si>
  <si>
    <t>Xtemp_Weak_WL_19</t>
  </si>
  <si>
    <t>Xtemp_Weak_WL_20</t>
  </si>
  <si>
    <t>Xtemp_Weak_WL_21</t>
  </si>
  <si>
    <t>Xtemp_Weak_WL_22</t>
  </si>
  <si>
    <t>Xtemp_Weak_WL_23</t>
  </si>
  <si>
    <t>Xtemp_Weak_WL_24</t>
  </si>
  <si>
    <t>Xtemp_Weak_WL_25</t>
  </si>
  <si>
    <t>Xtemp_Weak_WL_26</t>
  </si>
  <si>
    <t>Partial block</t>
  </si>
  <si>
    <t>NDEP_SSLCE_VAL_OFFSET</t>
  </si>
  <si>
    <t>NDEP_DSLCE_VAL_OFFSET</t>
  </si>
  <si>
    <t>NDEP_TSLC_VAL</t>
  </si>
  <si>
    <t>NDEP_TMLV1_VAL</t>
  </si>
  <si>
    <t>NDEP_TTLV1_VAL</t>
  </si>
  <si>
    <t>NDEP_CFBYTE_SLC</t>
  </si>
  <si>
    <t>NDEP_CFBYTE_TLC</t>
  </si>
  <si>
    <t>NDPC_SSLCE</t>
  </si>
  <si>
    <t>NDPC_DSLCE</t>
  </si>
  <si>
    <t>NDPC_TSLC</t>
  </si>
  <si>
    <t>NDPC_TMLCL3</t>
  </si>
  <si>
    <t>NDPC_TTLCL3_WL_cluster0</t>
  </si>
  <si>
    <t>NDPC_TTLCL3_WL_cluster1</t>
  </si>
  <si>
    <t>NDPC_TTLCL3_WL_cluster2</t>
  </si>
  <si>
    <t>NDPC_TTLCL3_WL_cluster3</t>
  </si>
  <si>
    <t>NDPC_TTLCL7_WL_cluster0</t>
  </si>
  <si>
    <t>NDPC_TTLCL7_WL_cluster1</t>
  </si>
  <si>
    <t>NDPC_TTLCL7_WL_cluster2</t>
  </si>
  <si>
    <t>NDPC_TTLCL7_WL_cluster3</t>
  </si>
  <si>
    <t>EARLY_EXIT_BIN_DELTA</t>
  </si>
  <si>
    <t xml:space="preserve">Exit condition of bin2-15 PU BF scan(2 back to back blocks resulting in the same bin or within EARLY_EXIT_BIN_DELTA) </t>
  </si>
  <si>
    <t>The offset for dynamic SLC block erase page check</t>
  </si>
  <si>
    <t>The offset for static SLC block erase page check</t>
  </si>
  <si>
    <t>The offset for static SLC block LWP true/fake program check</t>
  </si>
  <si>
    <t>The offset for dynamic SLC block LWP true/fake program check</t>
  </si>
  <si>
    <t>The offset for TLC block SLC WL LWP true/fake program check</t>
  </si>
  <si>
    <t>The offset for TLC block MLC WL LWP true/fake program check</t>
  </si>
  <si>
    <t>The LV3 offset for TLC block TLC WL LWP true/fake program check - cluster0</t>
  </si>
  <si>
    <t>The LV7 offset for TLC block TLC WL LWP true/fake program check - cluster0</t>
  </si>
  <si>
    <t>The LV3 offset for TLC block TLC WL LWP true/fake program check - cluster1</t>
  </si>
  <si>
    <t>The LV7 offset for TLC block TLC WL LWP true/fake program check - cluster1</t>
  </si>
  <si>
    <t>The LV3 offset for TLC block TLC WL LWP true/fake program check - cluster2</t>
  </si>
  <si>
    <t>The LV7 offset for TLC block TLC WL LWP true/fake program check - cluster2</t>
  </si>
  <si>
    <t>The LV3 offset for TLC block TLC WL LWP true/fake program check - cluster3</t>
  </si>
  <si>
    <t>The LV7 offset for TLC block TLC WL LWP true/fake program check - cluster3</t>
  </si>
  <si>
    <t>max number of quick BF scan allowed per VB per power up</t>
  </si>
  <si>
    <t>LONG_SLEEP</t>
  </si>
  <si>
    <t xml:space="preserve"> sleep hour threshold to be treated as a power cycle and trigger PU BF scan</t>
  </si>
  <si>
    <t>LONG_PWOFF_EARLYEXIT_BIN_TH</t>
  </si>
  <si>
    <t>Early exit happens &gt;= LONG_PWOFF_EARLYEXIT_BIN_TH = long power off, else short power off</t>
  </si>
  <si>
    <t xml:space="preserve">max number of zero bits for a page to be considered erased during binary search </t>
  </si>
  <si>
    <t>partial block/HGB inner WL bin3 offset, for LWP after PB_INNER_BIN2_LWP</t>
  </si>
  <si>
    <t>BEC_NUM_BEC_BINS</t>
  </si>
  <si>
    <t>Number of Bins for BEC histograms</t>
  </si>
  <si>
    <t>BEC_BIN_WIDTH</t>
  </si>
  <si>
    <t>Bin Width in BEC histograms - BEC range per bin</t>
  </si>
  <si>
    <t>BEC_HISTO_REFRESH</t>
  </si>
  <si>
    <t>The average PEC increase after which the BEC histogram is reset</t>
  </si>
  <si>
    <t>Sticky Read</t>
  </si>
  <si>
    <t>RBER_STICKY</t>
  </si>
  <si>
    <t>RBER threshold to trigger ARC during sticky enablement</t>
  </si>
  <si>
    <t>RL_RECOVERY_COUNT</t>
  </si>
  <si>
    <t>REH_ENTER_COUNT_STICKY_ON</t>
  </si>
  <si>
    <t>consecutive read recovered by read last</t>
  </si>
  <si>
    <t>consecutive read failure during sticky read enable</t>
  </si>
  <si>
    <t>READ_ERROR_COUNT</t>
  </si>
  <si>
    <t>total read error count before sticky read enable</t>
  </si>
  <si>
    <t>RL_CONSECUTIVE_OPTION</t>
  </si>
  <si>
    <t>consecutive read last enable/disable option, 1=enable, 0=disable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</si>
</sst>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sz val="11"/>
      <color rgb="FF000000"/>
      <name val="Aptos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1" fillId="0" borderId="0" xfId="0" applyFont="1"/>
    <xf numFmtId="0" fontId="5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/>
    <xf numFmtId="0" fontId="8" fillId="0" borderId="0" xfId="0" applyFont="1"/>
    <xf numFmtId="0" fontId="7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71DED-6244-4B1E-9BDE-9620CB113830}">
  <dimension ref="A1:K312"/>
  <sheetViews>
    <sheetView tabSelected="1" topLeftCell="A206" zoomScale="110" zoomScaleNormal="110" workbookViewId="0">
      <selection activeCell="M223" sqref="M223"/>
    </sheetView>
  </sheetViews>
  <sheetFormatPr defaultColWidth="8.85546875" defaultRowHeight="15" x14ac:dyDescent="0.25"/>
  <cols>
    <col min="1" max="1" width="26.5703125" customWidth="1"/>
    <col min="2" max="2" width="33.85546875" customWidth="1"/>
    <col min="3" max="3" width="5.140625" customWidth="1"/>
    <col min="4" max="4" width="53.85546875" customWidth="1"/>
    <col min="5" max="5" width="8.7109375" customWidth="1"/>
    <col min="7" max="7" width="15.42578125" customWidth="1"/>
    <col min="8" max="11" width="9.140625" customWidth="1"/>
    <col min="12" max="12" width="11.5703125" bestFit="1" customWidth="1"/>
  </cols>
  <sheetData>
    <row r="1" spans="1:11" x14ac:dyDescent="0.25">
      <c r="A1" t="s">
        <v>0</v>
      </c>
    </row>
    <row r="2" spans="1:11" ht="9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25">
      <c r="A3" t="s">
        <v>12</v>
      </c>
      <c r="B3" t="s">
        <v>13</v>
      </c>
      <c r="C3">
        <v>8</v>
      </c>
      <c r="D3" t="s">
        <v>14</v>
      </c>
      <c r="E3">
        <v>0</v>
      </c>
      <c r="F3" s="2">
        <f>ROUNDUP((SUM($C$3:$C3)/8-1),0)</f>
        <v>0</v>
      </c>
      <c r="H3">
        <v>77</v>
      </c>
      <c r="I3">
        <v>77</v>
      </c>
      <c r="J3">
        <v>77</v>
      </c>
      <c r="K3">
        <v>77</v>
      </c>
    </row>
    <row r="4" spans="1:11" x14ac:dyDescent="0.25">
      <c r="B4" t="s">
        <v>15</v>
      </c>
      <c r="C4">
        <v>8</v>
      </c>
      <c r="D4" t="s">
        <v>16</v>
      </c>
      <c r="E4" s="2">
        <f>ROUNDDOWN(SUM($C$3:$C3)/8,0)</f>
        <v>1</v>
      </c>
      <c r="F4" s="2">
        <f>ROUNDUP((SUM($C$3:$C4)/8-1),0)</f>
        <v>1</v>
      </c>
      <c r="H4">
        <v>67</v>
      </c>
      <c r="I4">
        <v>67</v>
      </c>
      <c r="J4">
        <v>67</v>
      </c>
      <c r="K4">
        <v>67</v>
      </c>
    </row>
    <row r="5" spans="1:11" x14ac:dyDescent="0.25">
      <c r="B5" t="s">
        <v>17</v>
      </c>
      <c r="C5">
        <v>8</v>
      </c>
      <c r="D5" t="s">
        <v>18</v>
      </c>
      <c r="E5" s="2">
        <f>ROUNDDOWN(SUM($C$3:$C4)/8,0)</f>
        <v>2</v>
      </c>
      <c r="F5" s="2">
        <f>ROUNDUP((SUM($C$3:$C5)/8-1),0)</f>
        <v>2</v>
      </c>
      <c r="H5">
        <v>79</v>
      </c>
      <c r="I5">
        <v>79</v>
      </c>
      <c r="J5">
        <v>79</v>
      </c>
      <c r="K5">
        <v>79</v>
      </c>
    </row>
    <row r="6" spans="1:11" x14ac:dyDescent="0.25">
      <c r="B6" t="s">
        <v>19</v>
      </c>
      <c r="C6">
        <v>8</v>
      </c>
      <c r="D6" t="s">
        <v>20</v>
      </c>
      <c r="E6" s="2">
        <f>ROUNDDOWN(SUM($C$3:$C5)/8,0)</f>
        <v>3</v>
      </c>
      <c r="F6" s="2">
        <f>ROUNDUP((SUM($C$3:$C6)/8-1),0)</f>
        <v>3</v>
      </c>
      <c r="H6">
        <v>78</v>
      </c>
      <c r="I6">
        <v>78</v>
      </c>
      <c r="J6">
        <v>78</v>
      </c>
      <c r="K6">
        <v>78</v>
      </c>
    </row>
    <row r="7" spans="1:11" x14ac:dyDescent="0.25">
      <c r="B7" t="s">
        <v>21</v>
      </c>
      <c r="C7">
        <v>8</v>
      </c>
      <c r="D7" t="s">
        <v>22</v>
      </c>
      <c r="E7" s="2">
        <f>ROUNDDOWN(SUM($C$3:$C6)/8,0)</f>
        <v>4</v>
      </c>
      <c r="F7" s="2">
        <f>ROUNDUP((SUM($C$3:$C7)/8-1),0)</f>
        <v>4</v>
      </c>
      <c r="H7">
        <v>70</v>
      </c>
      <c r="I7">
        <v>70</v>
      </c>
      <c r="J7">
        <v>70</v>
      </c>
      <c r="K7">
        <v>70</v>
      </c>
    </row>
    <row r="8" spans="1:11" x14ac:dyDescent="0.25">
      <c r="B8" t="s">
        <v>23</v>
      </c>
      <c r="C8">
        <v>8</v>
      </c>
      <c r="D8" t="s">
        <v>24</v>
      </c>
      <c r="E8" s="2">
        <f>ROUNDDOWN(SUM($C$3:$C7)/8,0)</f>
        <v>5</v>
      </c>
      <c r="F8" s="2">
        <f>ROUNDUP((SUM($C$3:$C8)/8-1),0)</f>
        <v>5</v>
      </c>
      <c r="H8">
        <v>73</v>
      </c>
      <c r="I8">
        <v>73</v>
      </c>
      <c r="J8">
        <v>73</v>
      </c>
      <c r="K8">
        <v>73</v>
      </c>
    </row>
    <row r="9" spans="1:11" x14ac:dyDescent="0.25">
      <c r="B9" t="s">
        <v>25</v>
      </c>
      <c r="C9">
        <v>8</v>
      </c>
      <c r="D9" t="s">
        <v>26</v>
      </c>
      <c r="E9" s="2">
        <f>ROUNDDOWN(SUM($C$3:$C8)/8,0)</f>
        <v>6</v>
      </c>
      <c r="F9" s="2">
        <f>ROUNDUP((SUM($C$3:$C9)/8-1),0)</f>
        <v>6</v>
      </c>
      <c r="H9">
        <v>71</v>
      </c>
      <c r="I9">
        <v>71</v>
      </c>
      <c r="J9">
        <v>71</v>
      </c>
      <c r="K9">
        <v>71</v>
      </c>
    </row>
    <row r="10" spans="1:11" x14ac:dyDescent="0.25">
      <c r="A10" t="s">
        <v>27</v>
      </c>
      <c r="B10" t="s">
        <v>28</v>
      </c>
      <c r="C10">
        <v>8</v>
      </c>
      <c r="D10" t="s">
        <v>27</v>
      </c>
      <c r="E10" s="2">
        <f>ROUNDDOWN(SUM($C$3:$C9)/8,0)</f>
        <v>7</v>
      </c>
      <c r="F10" s="2">
        <f>ROUNDUP((SUM($C$3:$C10)/8-1),0)</f>
        <v>7</v>
      </c>
      <c r="H10">
        <v>3</v>
      </c>
      <c r="I10">
        <v>3</v>
      </c>
      <c r="J10">
        <v>3</v>
      </c>
      <c r="K10">
        <v>3</v>
      </c>
    </row>
    <row r="11" spans="1:11" x14ac:dyDescent="0.25">
      <c r="A11" t="s">
        <v>29</v>
      </c>
      <c r="B11" t="s">
        <v>30</v>
      </c>
      <c r="C11">
        <v>8</v>
      </c>
      <c r="D11" t="s">
        <v>31</v>
      </c>
      <c r="E11" s="2">
        <f>ROUNDDOWN(SUM($C$3:$C10)/8,0)</f>
        <v>8</v>
      </c>
      <c r="F11" s="2">
        <f>ROUNDUP((SUM($C$3:$C11)/8-1),0)</f>
        <v>8</v>
      </c>
      <c r="H11">
        <v>145</v>
      </c>
      <c r="I11">
        <v>146</v>
      </c>
      <c r="J11">
        <v>147</v>
      </c>
      <c r="K11">
        <v>148</v>
      </c>
    </row>
    <row r="12" spans="1:11" x14ac:dyDescent="0.25">
      <c r="A12" t="s">
        <v>32</v>
      </c>
      <c r="B12" t="s">
        <v>33</v>
      </c>
      <c r="C12">
        <v>8</v>
      </c>
      <c r="D12" t="s">
        <v>32</v>
      </c>
      <c r="E12" s="2">
        <f>ROUNDDOWN(SUM($C$3:$C11)/8,0)</f>
        <v>9</v>
      </c>
      <c r="F12" s="2">
        <f>ROUNDUP((SUM($C$3:$C12)/8-1),0)</f>
        <v>9</v>
      </c>
    </row>
    <row r="13" spans="1:11" x14ac:dyDescent="0.25">
      <c r="A13" t="s">
        <v>34</v>
      </c>
      <c r="B13" t="s">
        <v>35</v>
      </c>
      <c r="C13">
        <v>16</v>
      </c>
      <c r="D13" s="3" t="s">
        <v>36</v>
      </c>
      <c r="E13" s="2">
        <f>ROUNDDOWN(SUM($C$3:$C12)/8,0)</f>
        <v>10</v>
      </c>
      <c r="F13" s="2">
        <f>ROUNDUP((SUM($C$3:$C13)/8-1),0)</f>
        <v>11</v>
      </c>
      <c r="H13" s="4">
        <v>2185</v>
      </c>
      <c r="I13" s="4">
        <v>2185</v>
      </c>
      <c r="J13" s="4">
        <v>2185</v>
      </c>
      <c r="K13" s="4">
        <v>2185</v>
      </c>
    </row>
    <row r="14" spans="1:11" x14ac:dyDescent="0.25">
      <c r="B14" t="s">
        <v>37</v>
      </c>
      <c r="C14">
        <v>16</v>
      </c>
      <c r="D14" s="3" t="s">
        <v>38</v>
      </c>
      <c r="E14" s="2">
        <f>ROUNDDOWN(SUM($C$3:$C13)/8,0)</f>
        <v>12</v>
      </c>
      <c r="F14" s="2">
        <f>ROUNDUP((SUM($C$3:$C14)/8-1),0)</f>
        <v>13</v>
      </c>
      <c r="H14" s="4">
        <v>2331</v>
      </c>
      <c r="I14" s="4">
        <v>2331</v>
      </c>
      <c r="J14" s="4">
        <v>2331</v>
      </c>
      <c r="K14" s="4">
        <v>2331</v>
      </c>
    </row>
    <row r="15" spans="1:11" x14ac:dyDescent="0.25">
      <c r="B15" t="s">
        <v>39</v>
      </c>
      <c r="C15">
        <v>16</v>
      </c>
      <c r="D15" s="3" t="s">
        <v>40</v>
      </c>
      <c r="E15" s="2">
        <f>ROUNDDOWN(SUM($C$3:$C14)/8,0)</f>
        <v>14</v>
      </c>
      <c r="F15" s="2">
        <f>ROUNDUP((SUM($C$3:$C15)/8-1),0)</f>
        <v>15</v>
      </c>
      <c r="H15" s="4">
        <v>32771</v>
      </c>
      <c r="I15" s="4">
        <v>32771</v>
      </c>
      <c r="J15" s="4">
        <v>32771</v>
      </c>
      <c r="K15" s="4">
        <v>32771</v>
      </c>
    </row>
    <row r="16" spans="1:11" x14ac:dyDescent="0.25">
      <c r="B16" t="s">
        <v>41</v>
      </c>
      <c r="C16">
        <v>16</v>
      </c>
      <c r="D16" s="3" t="s">
        <v>42</v>
      </c>
      <c r="E16" s="2">
        <f>ROUNDDOWN(SUM($C$3:$C15)/8,0)</f>
        <v>16</v>
      </c>
      <c r="F16" s="2">
        <f>ROUNDUP((SUM($C$3:$C16)/8-1),0)</f>
        <v>17</v>
      </c>
      <c r="H16" s="4">
        <v>32772</v>
      </c>
      <c r="I16" s="4">
        <v>32772</v>
      </c>
      <c r="J16" s="4">
        <v>32772</v>
      </c>
      <c r="K16" s="4">
        <v>32772</v>
      </c>
    </row>
    <row r="17" spans="2:11" x14ac:dyDescent="0.25">
      <c r="B17" t="s">
        <v>43</v>
      </c>
      <c r="C17">
        <v>16</v>
      </c>
      <c r="D17" s="3" t="s">
        <v>44</v>
      </c>
      <c r="E17" s="2">
        <f>ROUNDDOWN(SUM($C$3:$C16)/8,0)</f>
        <v>18</v>
      </c>
      <c r="F17" s="2">
        <f>ROUNDUP((SUM($C$3:$C17)/8-1),0)</f>
        <v>19</v>
      </c>
      <c r="H17" s="4">
        <v>32838</v>
      </c>
      <c r="I17" s="4">
        <v>32838</v>
      </c>
      <c r="J17" s="4">
        <v>32838</v>
      </c>
      <c r="K17" s="4">
        <v>32838</v>
      </c>
    </row>
    <row r="18" spans="2:11" x14ac:dyDescent="0.25">
      <c r="B18" t="s">
        <v>45</v>
      </c>
      <c r="C18">
        <v>16</v>
      </c>
      <c r="D18" s="3" t="s">
        <v>46</v>
      </c>
      <c r="E18" s="2">
        <f>ROUNDDOWN(SUM($C$3:$C17)/8,0)</f>
        <v>20</v>
      </c>
      <c r="F18" s="2">
        <f>ROUNDUP((SUM($C$3:$C18)/8-1),0)</f>
        <v>21</v>
      </c>
      <c r="H18" s="4">
        <v>32848</v>
      </c>
      <c r="I18" s="4">
        <v>32848</v>
      </c>
      <c r="J18" s="4">
        <v>32848</v>
      </c>
      <c r="K18" s="4">
        <v>32848</v>
      </c>
    </row>
    <row r="19" spans="2:11" x14ac:dyDescent="0.25">
      <c r="B19" t="s">
        <v>47</v>
      </c>
      <c r="C19">
        <v>16</v>
      </c>
      <c r="D19" s="3" t="s">
        <v>48</v>
      </c>
      <c r="E19" s="2">
        <f>ROUNDDOWN(SUM($C$3:$C18)/8,0)</f>
        <v>22</v>
      </c>
      <c r="F19" s="2">
        <f>ROUNDUP((SUM($C$3:$C19)/8-1),0)</f>
        <v>23</v>
      </c>
      <c r="H19" s="4">
        <v>32914</v>
      </c>
      <c r="I19" s="4">
        <v>32914</v>
      </c>
      <c r="J19" s="4">
        <v>32914</v>
      </c>
      <c r="K19" s="4">
        <v>32914</v>
      </c>
    </row>
    <row r="20" spans="2:11" x14ac:dyDescent="0.25">
      <c r="B20" t="s">
        <v>49</v>
      </c>
      <c r="C20">
        <v>16</v>
      </c>
      <c r="D20" s="3" t="s">
        <v>50</v>
      </c>
      <c r="E20" s="2">
        <f>ROUNDDOWN(SUM($C$3:$C19)/8,0)</f>
        <v>24</v>
      </c>
      <c r="F20" s="2">
        <f>ROUNDUP((SUM($C$3:$C20)/8-1),0)</f>
        <v>25</v>
      </c>
      <c r="H20" s="4">
        <v>32915</v>
      </c>
      <c r="I20" s="4">
        <v>32915</v>
      </c>
      <c r="J20" s="4">
        <v>32915</v>
      </c>
      <c r="K20" s="4">
        <v>32915</v>
      </c>
    </row>
    <row r="21" spans="2:11" x14ac:dyDescent="0.25">
      <c r="B21" t="s">
        <v>51</v>
      </c>
      <c r="C21">
        <v>16</v>
      </c>
      <c r="D21" s="3" t="s">
        <v>52</v>
      </c>
      <c r="E21" s="2">
        <f>ROUNDDOWN(SUM($C$3:$C20)/8,0)</f>
        <v>26</v>
      </c>
      <c r="F21" s="2">
        <f>ROUNDUP((SUM($C$3:$C21)/8-1),0)</f>
        <v>27</v>
      </c>
      <c r="H21" s="4">
        <v>33031</v>
      </c>
      <c r="I21" s="4">
        <v>33031</v>
      </c>
      <c r="J21" s="4">
        <v>33031</v>
      </c>
      <c r="K21" s="4">
        <v>33031</v>
      </c>
    </row>
    <row r="22" spans="2:11" x14ac:dyDescent="0.25">
      <c r="B22" t="s">
        <v>53</v>
      </c>
      <c r="C22">
        <v>16</v>
      </c>
      <c r="D22" s="3" t="s">
        <v>54</v>
      </c>
      <c r="E22" s="2">
        <f>ROUNDDOWN(SUM($C$3:$C21)/8,0)</f>
        <v>28</v>
      </c>
      <c r="F22" s="2">
        <f>ROUNDUP((SUM($C$3:$C22)/8-1),0)</f>
        <v>29</v>
      </c>
      <c r="H22" s="4">
        <v>33050</v>
      </c>
      <c r="I22" s="4">
        <v>33050</v>
      </c>
      <c r="J22" s="4">
        <v>33050</v>
      </c>
      <c r="K22" s="4">
        <v>33050</v>
      </c>
    </row>
    <row r="23" spans="2:11" x14ac:dyDescent="0.25">
      <c r="B23" t="s">
        <v>55</v>
      </c>
      <c r="C23">
        <v>16</v>
      </c>
      <c r="D23" s="3" t="s">
        <v>56</v>
      </c>
      <c r="E23" s="2">
        <f>ROUNDDOWN(SUM($C$3:$C22)/8,0)</f>
        <v>30</v>
      </c>
      <c r="F23" s="2">
        <f>ROUNDUP((SUM($C$3:$C23)/8-1),0)</f>
        <v>31</v>
      </c>
      <c r="H23" s="4">
        <v>24590</v>
      </c>
      <c r="I23" s="4">
        <v>24590</v>
      </c>
      <c r="J23" s="4">
        <v>24590</v>
      </c>
      <c r="K23" s="4">
        <v>24590</v>
      </c>
    </row>
    <row r="24" spans="2:11" x14ac:dyDescent="0.25">
      <c r="B24" t="s">
        <v>57</v>
      </c>
      <c r="C24">
        <v>16</v>
      </c>
      <c r="D24" s="3" t="s">
        <v>58</v>
      </c>
      <c r="E24" s="2">
        <f>ROUNDDOWN(SUM($C$3:$C23)/8,0)</f>
        <v>32</v>
      </c>
      <c r="F24" s="2">
        <f>ROUNDUP((SUM($C$3:$C24)/8-1),0)</f>
        <v>33</v>
      </c>
      <c r="H24" s="4">
        <v>24696</v>
      </c>
      <c r="I24" s="4">
        <v>24696</v>
      </c>
      <c r="J24" s="4">
        <v>24696</v>
      </c>
      <c r="K24" s="4">
        <v>24696</v>
      </c>
    </row>
    <row r="25" spans="2:11" x14ac:dyDescent="0.25">
      <c r="B25" t="s">
        <v>59</v>
      </c>
      <c r="C25">
        <v>16</v>
      </c>
      <c r="D25" s="3" t="s">
        <v>60</v>
      </c>
      <c r="E25" s="2">
        <f>ROUNDDOWN(SUM($C$3:$C24)/8,0)</f>
        <v>34</v>
      </c>
      <c r="F25" s="2">
        <f>ROUNDUP((SUM($C$3:$C25)/8-1),0)</f>
        <v>35</v>
      </c>
      <c r="H25" s="4">
        <v>24722</v>
      </c>
      <c r="I25" s="4">
        <v>24722</v>
      </c>
      <c r="J25" s="4">
        <v>24722</v>
      </c>
      <c r="K25" s="4">
        <v>24722</v>
      </c>
    </row>
    <row r="26" spans="2:11" x14ac:dyDescent="0.25">
      <c r="B26" t="s">
        <v>61</v>
      </c>
      <c r="C26">
        <v>16</v>
      </c>
      <c r="D26" s="3" t="s">
        <v>62</v>
      </c>
      <c r="E26" s="2">
        <f>ROUNDDOWN(SUM($C$3:$C25)/8,0)</f>
        <v>36</v>
      </c>
      <c r="F26" s="2">
        <f>ROUNDUP((SUM($C$3:$C26)/8-1),0)</f>
        <v>37</v>
      </c>
      <c r="H26" s="4">
        <v>24850</v>
      </c>
      <c r="I26" s="4">
        <v>24850</v>
      </c>
      <c r="J26" s="4">
        <v>24850</v>
      </c>
      <c r="K26" s="4">
        <v>24850</v>
      </c>
    </row>
    <row r="27" spans="2:11" x14ac:dyDescent="0.25">
      <c r="B27" t="s">
        <v>63</v>
      </c>
      <c r="C27">
        <v>16</v>
      </c>
      <c r="D27" s="3" t="s">
        <v>64</v>
      </c>
      <c r="E27" s="2">
        <f>ROUNDDOWN(SUM($C$3:$C26)/8,0)</f>
        <v>38</v>
      </c>
      <c r="F27" s="2">
        <f>ROUNDUP((SUM($C$3:$C27)/8-1),0)</f>
        <v>39</v>
      </c>
      <c r="H27" s="4">
        <v>20524</v>
      </c>
      <c r="I27" s="4">
        <v>20524</v>
      </c>
      <c r="J27" s="4">
        <v>20524</v>
      </c>
      <c r="K27" s="4">
        <v>20524</v>
      </c>
    </row>
    <row r="28" spans="2:11" x14ac:dyDescent="0.25">
      <c r="B28" t="s">
        <v>65</v>
      </c>
      <c r="C28">
        <v>16</v>
      </c>
      <c r="D28" s="3" t="s">
        <v>66</v>
      </c>
      <c r="E28" s="2">
        <f>ROUNDDOWN(SUM($C$3:$C27)/8,0)</f>
        <v>40</v>
      </c>
      <c r="F28" s="2">
        <f>ROUNDUP((SUM($C$3:$C28)/8-1),0)</f>
        <v>41</v>
      </c>
      <c r="H28" s="4">
        <v>20535</v>
      </c>
      <c r="I28" s="4">
        <v>20535</v>
      </c>
      <c r="J28" s="4">
        <v>20535</v>
      </c>
      <c r="K28" s="4">
        <v>20535</v>
      </c>
    </row>
    <row r="29" spans="2:11" x14ac:dyDescent="0.25">
      <c r="B29" t="s">
        <v>67</v>
      </c>
      <c r="C29">
        <v>16</v>
      </c>
      <c r="D29" s="3" t="s">
        <v>68</v>
      </c>
      <c r="E29" s="2">
        <f>ROUNDDOWN(SUM($C$3:$C28)/8,0)</f>
        <v>42</v>
      </c>
      <c r="F29" s="2">
        <f>ROUNDUP((SUM($C$3:$C29)/8-1),0)</f>
        <v>43</v>
      </c>
      <c r="H29" s="4">
        <v>20546</v>
      </c>
      <c r="I29" s="4">
        <v>20546</v>
      </c>
      <c r="J29" s="4">
        <v>20546</v>
      </c>
      <c r="K29" s="4">
        <v>20546</v>
      </c>
    </row>
    <row r="30" spans="2:11" x14ac:dyDescent="0.25">
      <c r="B30" t="s">
        <v>69</v>
      </c>
      <c r="C30">
        <v>16</v>
      </c>
      <c r="D30" s="3" t="s">
        <v>70</v>
      </c>
      <c r="E30" s="2">
        <f>ROUNDDOWN(SUM($C$3:$C29)/8,0)</f>
        <v>44</v>
      </c>
      <c r="F30" s="2">
        <f>ROUNDUP((SUM($C$3:$C30)/8-1),0)</f>
        <v>45</v>
      </c>
      <c r="H30" s="4">
        <v>20547</v>
      </c>
      <c r="I30" s="4">
        <v>20547</v>
      </c>
      <c r="J30" s="4">
        <v>20547</v>
      </c>
      <c r="K30" s="4">
        <v>20547</v>
      </c>
    </row>
    <row r="31" spans="2:11" x14ac:dyDescent="0.25">
      <c r="B31" t="s">
        <v>71</v>
      </c>
      <c r="C31">
        <v>16</v>
      </c>
      <c r="D31" s="3" t="s">
        <v>72</v>
      </c>
      <c r="E31" s="2">
        <f>ROUNDDOWN(SUM($C$3:$C30)/8,0)</f>
        <v>46</v>
      </c>
      <c r="F31" s="2">
        <f>ROUNDUP((SUM($C$3:$C31)/8-1),0)</f>
        <v>47</v>
      </c>
      <c r="H31" s="4">
        <v>20550</v>
      </c>
      <c r="I31" s="4">
        <v>20550</v>
      </c>
      <c r="J31" s="4">
        <v>20550</v>
      </c>
      <c r="K31" s="4">
        <v>20550</v>
      </c>
    </row>
    <row r="32" spans="2:11" x14ac:dyDescent="0.25">
      <c r="B32" t="s">
        <v>73</v>
      </c>
      <c r="C32">
        <v>16</v>
      </c>
      <c r="D32" s="3" t="s">
        <v>74</v>
      </c>
      <c r="E32" s="2">
        <f>ROUNDDOWN(SUM($C$3:$C31)/8,0)</f>
        <v>48</v>
      </c>
      <c r="F32" s="2">
        <f>ROUNDUP((SUM($C$3:$C32)/8-1),0)</f>
        <v>49</v>
      </c>
      <c r="H32" s="4">
        <v>20551</v>
      </c>
      <c r="I32" s="4">
        <v>20551</v>
      </c>
      <c r="J32" s="4">
        <v>20551</v>
      </c>
      <c r="K32" s="4">
        <v>20551</v>
      </c>
    </row>
    <row r="33" spans="1:11" x14ac:dyDescent="0.25">
      <c r="B33" t="s">
        <v>75</v>
      </c>
      <c r="C33">
        <v>16</v>
      </c>
      <c r="D33" s="3" t="s">
        <v>76</v>
      </c>
      <c r="E33" s="2">
        <f>ROUNDDOWN(SUM($C$3:$C32)/8,0)</f>
        <v>50</v>
      </c>
      <c r="F33" s="2">
        <f>ROUNDUP((SUM($C$3:$C33)/8-1),0)</f>
        <v>51</v>
      </c>
      <c r="H33" s="4">
        <v>20554</v>
      </c>
      <c r="I33" s="4">
        <v>20554</v>
      </c>
      <c r="J33" s="4">
        <v>20554</v>
      </c>
      <c r="K33" s="4">
        <v>20554</v>
      </c>
    </row>
    <row r="34" spans="1:11" x14ac:dyDescent="0.25">
      <c r="B34" t="s">
        <v>77</v>
      </c>
      <c r="C34">
        <v>16</v>
      </c>
      <c r="D34" s="3" t="s">
        <v>78</v>
      </c>
      <c r="E34" s="2">
        <f>ROUNDDOWN(SUM($C$3:$C33)/8,0)</f>
        <v>52</v>
      </c>
      <c r="F34" s="2">
        <f>ROUNDUP((SUM($C$3:$C34)/8-1),0)</f>
        <v>53</v>
      </c>
      <c r="H34" s="4">
        <v>20556</v>
      </c>
      <c r="I34" s="4">
        <v>20556</v>
      </c>
      <c r="J34" s="4">
        <v>20556</v>
      </c>
      <c r="K34" s="4">
        <v>20556</v>
      </c>
    </row>
    <row r="35" spans="1:11" x14ac:dyDescent="0.25">
      <c r="B35" t="s">
        <v>79</v>
      </c>
      <c r="C35">
        <v>16</v>
      </c>
      <c r="D35" s="3" t="s">
        <v>80</v>
      </c>
      <c r="E35" s="2">
        <f>ROUNDDOWN(SUM($C$3:$C34)/8,0)</f>
        <v>54</v>
      </c>
      <c r="F35" s="2">
        <f>ROUNDUP((SUM($C$3:$C35)/8-1),0)</f>
        <v>55</v>
      </c>
      <c r="H35" s="4">
        <v>20558</v>
      </c>
      <c r="I35" s="4">
        <v>20558</v>
      </c>
      <c r="J35" s="4">
        <v>20558</v>
      </c>
      <c r="K35" s="4">
        <v>20558</v>
      </c>
    </row>
    <row r="36" spans="1:11" x14ac:dyDescent="0.25">
      <c r="B36" t="s">
        <v>81</v>
      </c>
      <c r="C36">
        <v>16</v>
      </c>
      <c r="D36" s="3" t="s">
        <v>82</v>
      </c>
      <c r="E36" s="2">
        <f>ROUNDDOWN(SUM($C$3:$C35)/8,0)</f>
        <v>56</v>
      </c>
      <c r="F36" s="2">
        <f>ROUNDUP((SUM($C$3:$C36)/8-1),0)</f>
        <v>57</v>
      </c>
      <c r="H36" s="4">
        <v>20681</v>
      </c>
      <c r="I36" s="4">
        <v>20681</v>
      </c>
      <c r="J36" s="4">
        <v>20681</v>
      </c>
      <c r="K36" s="4">
        <v>20681</v>
      </c>
    </row>
    <row r="37" spans="1:11" x14ac:dyDescent="0.25">
      <c r="B37" t="s">
        <v>83</v>
      </c>
      <c r="C37">
        <v>16</v>
      </c>
      <c r="D37" s="3" t="s">
        <v>84</v>
      </c>
      <c r="E37" s="2">
        <f>ROUNDDOWN(SUM($C$3:$C36)/8,0)</f>
        <v>58</v>
      </c>
      <c r="F37" s="2">
        <f>ROUNDUP((SUM($C$3:$C37)/8-1),0)</f>
        <v>59</v>
      </c>
      <c r="H37" s="4">
        <v>20683</v>
      </c>
      <c r="I37" s="4">
        <v>20683</v>
      </c>
      <c r="J37" s="4">
        <v>20683</v>
      </c>
      <c r="K37" s="4">
        <v>20683</v>
      </c>
    </row>
    <row r="38" spans="1:11" x14ac:dyDescent="0.25">
      <c r="B38" t="s">
        <v>85</v>
      </c>
      <c r="C38">
        <v>16</v>
      </c>
      <c r="D38" s="3" t="s">
        <v>86</v>
      </c>
      <c r="E38" s="2">
        <f>ROUNDDOWN(SUM($C$3:$C37)/8,0)</f>
        <v>60</v>
      </c>
      <c r="F38" s="2">
        <f>ROUNDUP((SUM($C$3:$C38)/8-1),0)</f>
        <v>61</v>
      </c>
      <c r="H38" s="4">
        <v>20692</v>
      </c>
      <c r="I38" s="4">
        <v>20692</v>
      </c>
      <c r="J38" s="4">
        <v>20692</v>
      </c>
      <c r="K38" s="4">
        <v>20692</v>
      </c>
    </row>
    <row r="39" spans="1:11" x14ac:dyDescent="0.25">
      <c r="B39" t="s">
        <v>87</v>
      </c>
      <c r="C39">
        <v>16</v>
      </c>
      <c r="D39" s="3" t="s">
        <v>88</v>
      </c>
      <c r="E39" s="2">
        <f>ROUNDDOWN(SUM($C$3:$C38)/8,0)</f>
        <v>62</v>
      </c>
      <c r="F39" s="2">
        <f>ROUNDUP((SUM($C$3:$C39)/8-1),0)</f>
        <v>63</v>
      </c>
      <c r="H39" s="4">
        <v>20700</v>
      </c>
      <c r="I39" s="4">
        <v>20700</v>
      </c>
      <c r="J39" s="4">
        <v>20700</v>
      </c>
      <c r="K39" s="4">
        <v>20700</v>
      </c>
    </row>
    <row r="40" spans="1:11" x14ac:dyDescent="0.25">
      <c r="B40" t="s">
        <v>89</v>
      </c>
      <c r="C40">
        <v>16</v>
      </c>
      <c r="D40" s="3" t="s">
        <v>90</v>
      </c>
      <c r="E40" s="2">
        <f>ROUNDDOWN(SUM($C$3:$C39)/8,0)</f>
        <v>64</v>
      </c>
      <c r="F40" s="2">
        <f>ROUNDUP((SUM($C$3:$C40)/8-1),0)</f>
        <v>65</v>
      </c>
      <c r="H40" s="4">
        <v>20702</v>
      </c>
      <c r="I40" s="4">
        <v>20702</v>
      </c>
      <c r="J40" s="4">
        <v>20702</v>
      </c>
      <c r="K40" s="4">
        <v>20702</v>
      </c>
    </row>
    <row r="41" spans="1:11" x14ac:dyDescent="0.25">
      <c r="B41" t="s">
        <v>91</v>
      </c>
      <c r="C41">
        <v>16</v>
      </c>
      <c r="D41" s="3" t="s">
        <v>92</v>
      </c>
      <c r="E41" s="2">
        <f>ROUNDDOWN(SUM($C$3:$C40)/8,0)</f>
        <v>66</v>
      </c>
      <c r="F41" s="2">
        <f>ROUNDUP((SUM($C$3:$C41)/8-1),0)</f>
        <v>67</v>
      </c>
      <c r="H41" s="4">
        <v>20707</v>
      </c>
      <c r="I41" s="4">
        <v>20707</v>
      </c>
      <c r="J41" s="4">
        <v>20707</v>
      </c>
      <c r="K41" s="4">
        <v>20707</v>
      </c>
    </row>
    <row r="42" spans="1:11" x14ac:dyDescent="0.25">
      <c r="B42" t="s">
        <v>93</v>
      </c>
      <c r="C42">
        <v>16</v>
      </c>
      <c r="D42" s="3" t="s">
        <v>94</v>
      </c>
      <c r="E42" s="2">
        <f>ROUNDDOWN(SUM($C$3:$C41)/8,0)</f>
        <v>68</v>
      </c>
      <c r="F42" s="2">
        <f>ROUNDUP((SUM($C$3:$C42)/8-1),0)</f>
        <v>69</v>
      </c>
      <c r="H42" s="4">
        <v>20760</v>
      </c>
      <c r="I42" s="4">
        <v>20760</v>
      </c>
      <c r="J42" s="4">
        <v>20760</v>
      </c>
      <c r="K42" s="4">
        <v>20760</v>
      </c>
    </row>
    <row r="43" spans="1:11" x14ac:dyDescent="0.25">
      <c r="A43" t="s">
        <v>554</v>
      </c>
      <c r="B43" t="s">
        <v>95</v>
      </c>
      <c r="C43">
        <v>8</v>
      </c>
      <c r="D43" t="s">
        <v>596</v>
      </c>
      <c r="E43" s="2">
        <f>ROUNDDOWN(SUM($C$3:$C42)/8,0)</f>
        <v>70</v>
      </c>
      <c r="F43" s="2">
        <f>ROUNDUP((SUM($C$3:$C43)/8-1),0)</f>
        <v>70</v>
      </c>
      <c r="H43">
        <v>0</v>
      </c>
      <c r="I43">
        <v>0</v>
      </c>
      <c r="J43">
        <v>0</v>
      </c>
      <c r="K43">
        <v>0</v>
      </c>
    </row>
    <row r="44" spans="1:11" x14ac:dyDescent="0.25">
      <c r="B44" t="s">
        <v>96</v>
      </c>
      <c r="C44">
        <v>8</v>
      </c>
      <c r="D44" t="s">
        <v>97</v>
      </c>
      <c r="E44" s="2">
        <f>ROUNDDOWN(SUM($C$3:$C43)/8,0)</f>
        <v>71</v>
      </c>
      <c r="F44" s="2">
        <f>ROUNDUP((SUM($C$3:$C44)/8-1),0)</f>
        <v>71</v>
      </c>
      <c r="H44">
        <v>-8</v>
      </c>
      <c r="I44">
        <v>-8</v>
      </c>
      <c r="J44">
        <v>-8</v>
      </c>
      <c r="K44">
        <v>-8</v>
      </c>
    </row>
    <row r="45" spans="1:11" x14ac:dyDescent="0.25">
      <c r="B45" t="s">
        <v>98</v>
      </c>
      <c r="C45">
        <v>8</v>
      </c>
      <c r="D45" t="s">
        <v>97</v>
      </c>
      <c r="E45" s="2">
        <f>ROUNDDOWN(SUM($C$3:$C44)/8,0)</f>
        <v>72</v>
      </c>
      <c r="F45" s="2">
        <f>ROUNDUP((SUM($C$3:$C45)/8-1),0)</f>
        <v>72</v>
      </c>
      <c r="H45">
        <v>-9</v>
      </c>
      <c r="I45">
        <v>-9</v>
      </c>
      <c r="J45">
        <v>-9</v>
      </c>
      <c r="K45">
        <v>-9</v>
      </c>
    </row>
    <row r="46" spans="1:11" x14ac:dyDescent="0.25">
      <c r="B46" t="s">
        <v>99</v>
      </c>
      <c r="C46">
        <v>8</v>
      </c>
      <c r="D46" t="s">
        <v>97</v>
      </c>
      <c r="E46" s="2">
        <f>ROUNDDOWN(SUM($C$3:$C45)/8,0)</f>
        <v>73</v>
      </c>
      <c r="F46" s="2">
        <f>ROUNDUP((SUM($C$3:$C46)/8-1),0)</f>
        <v>73</v>
      </c>
      <c r="H46">
        <v>-10</v>
      </c>
      <c r="I46">
        <v>-10</v>
      </c>
      <c r="J46">
        <v>-10</v>
      </c>
      <c r="K46">
        <v>-10</v>
      </c>
    </row>
    <row r="47" spans="1:11" x14ac:dyDescent="0.25">
      <c r="B47" t="s">
        <v>100</v>
      </c>
      <c r="C47">
        <v>8</v>
      </c>
      <c r="D47" t="s">
        <v>101</v>
      </c>
      <c r="E47" s="2">
        <f>ROUNDDOWN(SUM($C$3:$C46)/8,0)</f>
        <v>74</v>
      </c>
      <c r="F47" s="2">
        <f>ROUNDUP((SUM($C$3:$C47)/8-1),0)</f>
        <v>74</v>
      </c>
      <c r="H47">
        <v>-6</v>
      </c>
      <c r="I47">
        <v>-6</v>
      </c>
      <c r="J47">
        <v>-6</v>
      </c>
      <c r="K47">
        <v>-6</v>
      </c>
    </row>
    <row r="48" spans="1:11" x14ac:dyDescent="0.25">
      <c r="B48" t="s">
        <v>102</v>
      </c>
      <c r="C48">
        <v>8</v>
      </c>
      <c r="D48" t="s">
        <v>101</v>
      </c>
      <c r="E48" s="2">
        <f>ROUNDDOWN(SUM($C$3:$C47)/8,0)</f>
        <v>75</v>
      </c>
      <c r="F48" s="2">
        <f>ROUNDUP((SUM($C$3:$C48)/8-1),0)</f>
        <v>75</v>
      </c>
      <c r="H48">
        <v>-6</v>
      </c>
      <c r="I48">
        <v>-6</v>
      </c>
      <c r="J48">
        <v>-6</v>
      </c>
      <c r="K48">
        <v>-6</v>
      </c>
    </row>
    <row r="49" spans="2:11" x14ac:dyDescent="0.25">
      <c r="B49" t="s">
        <v>103</v>
      </c>
      <c r="C49">
        <v>8</v>
      </c>
      <c r="D49" t="s">
        <v>101</v>
      </c>
      <c r="E49" s="2">
        <f>ROUNDDOWN(SUM($C$3:$C48)/8,0)</f>
        <v>76</v>
      </c>
      <c r="F49" s="2">
        <f>ROUNDUP((SUM($C$3:$C49)/8-1),0)</f>
        <v>76</v>
      </c>
      <c r="H49">
        <v>-6</v>
      </c>
      <c r="I49">
        <v>-6</v>
      </c>
      <c r="J49">
        <v>-6</v>
      </c>
      <c r="K49">
        <v>-6</v>
      </c>
    </row>
    <row r="50" spans="2:11" x14ac:dyDescent="0.25">
      <c r="B50" t="s">
        <v>104</v>
      </c>
      <c r="C50">
        <v>8</v>
      </c>
      <c r="D50" t="s">
        <v>105</v>
      </c>
      <c r="E50" s="2">
        <f>ROUNDDOWN(SUM($C$3:$C49)/8,0)</f>
        <v>77</v>
      </c>
      <c r="F50" s="2">
        <f>ROUNDUP((SUM($C$3:$C50)/8-1),0)</f>
        <v>77</v>
      </c>
      <c r="H50">
        <v>-4</v>
      </c>
      <c r="I50">
        <v>-4</v>
      </c>
      <c r="J50">
        <v>-4</v>
      </c>
      <c r="K50">
        <v>-4</v>
      </c>
    </row>
    <row r="51" spans="2:11" x14ac:dyDescent="0.25">
      <c r="B51" t="s">
        <v>106</v>
      </c>
      <c r="C51">
        <v>8</v>
      </c>
      <c r="D51" t="s">
        <v>105</v>
      </c>
      <c r="E51" s="2">
        <f>ROUNDDOWN(SUM($C$3:$C50)/8,0)</f>
        <v>78</v>
      </c>
      <c r="F51" s="2">
        <f>ROUNDUP((SUM($C$3:$C51)/8-1),0)</f>
        <v>78</v>
      </c>
      <c r="H51">
        <v>-4</v>
      </c>
      <c r="I51">
        <v>-4</v>
      </c>
      <c r="J51">
        <v>-4</v>
      </c>
      <c r="K51">
        <v>-4</v>
      </c>
    </row>
    <row r="52" spans="2:11" x14ac:dyDescent="0.25">
      <c r="B52" t="s">
        <v>107</v>
      </c>
      <c r="C52">
        <v>8</v>
      </c>
      <c r="D52" t="s">
        <v>105</v>
      </c>
      <c r="E52" s="2">
        <f>ROUNDDOWN(SUM($C$3:$C51)/8,0)</f>
        <v>79</v>
      </c>
      <c r="F52" s="2">
        <f>ROUNDUP((SUM($C$3:$C52)/8-1),0)</f>
        <v>79</v>
      </c>
      <c r="H52">
        <v>-4</v>
      </c>
      <c r="I52">
        <v>-4</v>
      </c>
      <c r="J52">
        <v>-4</v>
      </c>
      <c r="K52">
        <v>-4</v>
      </c>
    </row>
    <row r="53" spans="2:11" x14ac:dyDescent="0.25">
      <c r="B53" t="s">
        <v>108</v>
      </c>
      <c r="C53">
        <v>8</v>
      </c>
      <c r="D53" t="s">
        <v>109</v>
      </c>
      <c r="E53" s="2">
        <f>ROUNDDOWN(SUM($C$3:$C52)/8,0)</f>
        <v>80</v>
      </c>
      <c r="F53" s="2">
        <f>ROUNDUP((SUM($C$3:$C53)/8-1),0)</f>
        <v>80</v>
      </c>
      <c r="H53" s="2">
        <v>-12</v>
      </c>
      <c r="I53" s="2">
        <v>-12</v>
      </c>
      <c r="J53" s="2">
        <v>-12</v>
      </c>
      <c r="K53" s="2">
        <v>-12</v>
      </c>
    </row>
    <row r="54" spans="2:11" x14ac:dyDescent="0.25">
      <c r="B54" t="s">
        <v>110</v>
      </c>
      <c r="C54">
        <v>8</v>
      </c>
      <c r="D54" t="s">
        <v>109</v>
      </c>
      <c r="E54" s="2">
        <f>ROUNDDOWN(SUM($C$3:$C53)/8,0)</f>
        <v>81</v>
      </c>
      <c r="F54" s="2">
        <f>ROUNDUP((SUM($C$3:$C54)/8-1),0)</f>
        <v>81</v>
      </c>
      <c r="H54" s="2">
        <v>-16</v>
      </c>
      <c r="I54" s="2">
        <v>-16</v>
      </c>
      <c r="J54" s="2">
        <v>-16</v>
      </c>
      <c r="K54" s="2">
        <v>-16</v>
      </c>
    </row>
    <row r="55" spans="2:11" x14ac:dyDescent="0.25">
      <c r="B55" t="s">
        <v>111</v>
      </c>
      <c r="C55">
        <v>8</v>
      </c>
      <c r="D55" t="s">
        <v>109</v>
      </c>
      <c r="E55" s="2">
        <f>ROUNDDOWN(SUM($C$3:$C54)/8,0)</f>
        <v>82</v>
      </c>
      <c r="F55" s="2">
        <f>ROUNDUP((SUM($C$3:$C55)/8-1),0)</f>
        <v>82</v>
      </c>
      <c r="H55" s="2">
        <v>-16</v>
      </c>
      <c r="I55" s="2">
        <v>-16</v>
      </c>
      <c r="J55" s="2">
        <v>-16</v>
      </c>
      <c r="K55" s="2">
        <v>-16</v>
      </c>
    </row>
    <row r="56" spans="2:11" x14ac:dyDescent="0.25">
      <c r="B56" t="s">
        <v>112</v>
      </c>
      <c r="C56">
        <v>8</v>
      </c>
      <c r="D56" t="s">
        <v>113</v>
      </c>
      <c r="E56" s="2">
        <f>ROUNDDOWN(SUM($C$3:$C55)/8,0)</f>
        <v>83</v>
      </c>
      <c r="F56" s="2">
        <f>ROUNDUP((SUM($C$3:$C56)/8-1),0)</f>
        <v>83</v>
      </c>
      <c r="H56" s="2">
        <v>-10</v>
      </c>
      <c r="I56" s="2">
        <v>-10</v>
      </c>
      <c r="J56" s="2">
        <v>-10</v>
      </c>
      <c r="K56" s="2">
        <v>-10</v>
      </c>
    </row>
    <row r="57" spans="2:11" x14ac:dyDescent="0.25">
      <c r="B57" t="s">
        <v>114</v>
      </c>
      <c r="C57">
        <v>8</v>
      </c>
      <c r="D57" t="s">
        <v>113</v>
      </c>
      <c r="E57" s="2">
        <f>ROUNDDOWN(SUM($C$3:$C56)/8,0)</f>
        <v>84</v>
      </c>
      <c r="F57" s="2">
        <f>ROUNDUP((SUM($C$3:$C57)/8-1),0)</f>
        <v>84</v>
      </c>
      <c r="H57" s="2">
        <v>-12</v>
      </c>
      <c r="I57" s="2">
        <v>-12</v>
      </c>
      <c r="J57" s="2">
        <v>-12</v>
      </c>
      <c r="K57" s="2">
        <v>-12</v>
      </c>
    </row>
    <row r="58" spans="2:11" x14ac:dyDescent="0.25">
      <c r="B58" t="s">
        <v>115</v>
      </c>
      <c r="C58">
        <v>8</v>
      </c>
      <c r="D58" t="s">
        <v>113</v>
      </c>
      <c r="E58" s="2">
        <f>ROUNDDOWN(SUM($C$3:$C57)/8,0)</f>
        <v>85</v>
      </c>
      <c r="F58" s="2">
        <f>ROUNDUP((SUM($C$3:$C58)/8-1),0)</f>
        <v>85</v>
      </c>
      <c r="H58" s="2">
        <v>-11</v>
      </c>
      <c r="I58" s="2">
        <v>-11</v>
      </c>
      <c r="J58" s="2">
        <v>-11</v>
      </c>
      <c r="K58" s="2">
        <v>-11</v>
      </c>
    </row>
    <row r="59" spans="2:11" x14ac:dyDescent="0.25">
      <c r="B59" t="s">
        <v>116</v>
      </c>
      <c r="C59">
        <v>8</v>
      </c>
      <c r="D59" t="s">
        <v>117</v>
      </c>
      <c r="E59" s="2">
        <f>ROUNDDOWN(SUM($C$3:$C58)/8,0)</f>
        <v>86</v>
      </c>
      <c r="F59" s="2">
        <f>ROUNDUP((SUM($C$3:$C59)/8-1),0)</f>
        <v>86</v>
      </c>
      <c r="H59" s="2">
        <v>-7</v>
      </c>
      <c r="I59" s="2">
        <v>-7</v>
      </c>
      <c r="J59" s="2">
        <v>-7</v>
      </c>
      <c r="K59" s="2">
        <v>-7</v>
      </c>
    </row>
    <row r="60" spans="2:11" x14ac:dyDescent="0.25">
      <c r="B60" t="s">
        <v>118</v>
      </c>
      <c r="C60">
        <v>8</v>
      </c>
      <c r="D60" t="s">
        <v>117</v>
      </c>
      <c r="E60" s="2">
        <f>ROUNDDOWN(SUM($C$3:$C59)/8,0)</f>
        <v>87</v>
      </c>
      <c r="F60" s="2">
        <f>ROUNDUP((SUM($C$3:$C60)/8-1),0)</f>
        <v>87</v>
      </c>
      <c r="H60" s="2">
        <v>-9</v>
      </c>
      <c r="I60" s="2">
        <v>-9</v>
      </c>
      <c r="J60" s="2">
        <v>-9</v>
      </c>
      <c r="K60" s="2">
        <v>-9</v>
      </c>
    </row>
    <row r="61" spans="2:11" x14ac:dyDescent="0.25">
      <c r="B61" t="s">
        <v>119</v>
      </c>
      <c r="C61">
        <v>8</v>
      </c>
      <c r="D61" t="s">
        <v>117</v>
      </c>
      <c r="E61" s="2">
        <f>ROUNDDOWN(SUM($C$3:$C60)/8,0)</f>
        <v>88</v>
      </c>
      <c r="F61" s="2">
        <f>ROUNDUP((SUM($C$3:$C61)/8-1),0)</f>
        <v>88</v>
      </c>
      <c r="H61" s="2">
        <v>-9</v>
      </c>
      <c r="I61" s="2">
        <v>-9</v>
      </c>
      <c r="J61" s="2">
        <v>-9</v>
      </c>
      <c r="K61" s="2">
        <v>-9</v>
      </c>
    </row>
    <row r="62" spans="2:11" x14ac:dyDescent="0.25">
      <c r="B62" t="s">
        <v>120</v>
      </c>
      <c r="C62">
        <v>8</v>
      </c>
      <c r="D62" t="s">
        <v>121</v>
      </c>
      <c r="E62" s="2">
        <f>ROUNDDOWN(SUM($C$3:$C61)/8,0)</f>
        <v>89</v>
      </c>
      <c r="F62" s="2">
        <f>ROUNDUP((SUM($C$3:$C62)/8-1),0)</f>
        <v>89</v>
      </c>
      <c r="H62" s="2">
        <v>-3</v>
      </c>
      <c r="I62" s="2">
        <v>-3</v>
      </c>
      <c r="J62" s="2">
        <v>-3</v>
      </c>
      <c r="K62" s="2">
        <v>-3</v>
      </c>
    </row>
    <row r="63" spans="2:11" x14ac:dyDescent="0.25">
      <c r="B63" t="s">
        <v>122</v>
      </c>
      <c r="C63">
        <v>8</v>
      </c>
      <c r="D63" t="s">
        <v>121</v>
      </c>
      <c r="E63" s="2">
        <f>ROUNDDOWN(SUM($C$3:$C62)/8,0)</f>
        <v>90</v>
      </c>
      <c r="F63" s="2">
        <f>ROUNDUP((SUM($C$3:$C63)/8-1),0)</f>
        <v>90</v>
      </c>
      <c r="H63" s="2">
        <v>-4</v>
      </c>
      <c r="I63" s="2">
        <v>-4</v>
      </c>
      <c r="J63" s="2">
        <v>-4</v>
      </c>
      <c r="K63" s="2">
        <v>-4</v>
      </c>
    </row>
    <row r="64" spans="2:11" x14ac:dyDescent="0.25">
      <c r="B64" t="s">
        <v>123</v>
      </c>
      <c r="C64">
        <v>8</v>
      </c>
      <c r="D64" t="s">
        <v>121</v>
      </c>
      <c r="E64" s="2">
        <f>ROUNDDOWN(SUM($C$3:$C63)/8,0)</f>
        <v>91</v>
      </c>
      <c r="F64" s="2">
        <f>ROUNDUP((SUM($C$3:$C64)/8-1),0)</f>
        <v>91</v>
      </c>
      <c r="H64" s="2">
        <v>-4</v>
      </c>
      <c r="I64" s="2">
        <v>-4</v>
      </c>
      <c r="J64" s="2">
        <v>-4</v>
      </c>
      <c r="K64" s="2">
        <v>-4</v>
      </c>
    </row>
    <row r="65" spans="1:11" x14ac:dyDescent="0.25">
      <c r="B65" t="s">
        <v>124</v>
      </c>
      <c r="C65">
        <v>16</v>
      </c>
      <c r="D65" t="s">
        <v>125</v>
      </c>
      <c r="E65" s="2">
        <f>ROUNDDOWN(SUM($C$3:$C64)/8,0)</f>
        <v>92</v>
      </c>
      <c r="F65" s="2">
        <f>ROUNDUP((SUM($C$3:$C65)/8-1),0)</f>
        <v>93</v>
      </c>
      <c r="H65" s="2">
        <v>27</v>
      </c>
      <c r="I65" s="2">
        <v>27</v>
      </c>
      <c r="J65" s="2">
        <v>27</v>
      </c>
      <c r="K65" s="2">
        <v>27</v>
      </c>
    </row>
    <row r="66" spans="1:11" x14ac:dyDescent="0.25">
      <c r="B66" t="s">
        <v>126</v>
      </c>
      <c r="C66">
        <v>16</v>
      </c>
      <c r="D66" t="s">
        <v>127</v>
      </c>
      <c r="E66" s="2">
        <f>ROUNDDOWN(SUM($C$3:$C65)/8,0)</f>
        <v>94</v>
      </c>
      <c r="F66" s="2">
        <f>ROUNDUP((SUM($C$3:$C66)/8-1),0)</f>
        <v>95</v>
      </c>
      <c r="H66" s="2">
        <v>339</v>
      </c>
      <c r="I66" s="2">
        <v>339</v>
      </c>
      <c r="J66" s="2">
        <v>339</v>
      </c>
      <c r="K66" s="2">
        <v>339</v>
      </c>
    </row>
    <row r="67" spans="1:11" x14ac:dyDescent="0.25">
      <c r="B67" t="s">
        <v>128</v>
      </c>
      <c r="C67">
        <v>16</v>
      </c>
      <c r="D67" t="s">
        <v>129</v>
      </c>
      <c r="E67" s="2">
        <f>ROUNDDOWN(SUM($C$3:$C66)/8,0)</f>
        <v>96</v>
      </c>
      <c r="F67" s="2">
        <f>ROUNDUP((SUM($C$3:$C67)/8-1),0)</f>
        <v>97</v>
      </c>
      <c r="H67" s="2">
        <v>731</v>
      </c>
      <c r="I67" s="2">
        <v>731</v>
      </c>
      <c r="J67" s="2">
        <v>731</v>
      </c>
      <c r="K67" s="2">
        <v>731</v>
      </c>
    </row>
    <row r="68" spans="1:11" x14ac:dyDescent="0.25">
      <c r="B68" t="s">
        <v>130</v>
      </c>
      <c r="C68">
        <v>16</v>
      </c>
      <c r="D68" t="s">
        <v>131</v>
      </c>
      <c r="E68" s="2">
        <f>ROUNDDOWN(SUM($C$3:$C67)/8,0)</f>
        <v>98</v>
      </c>
      <c r="F68" s="2">
        <f>ROUNDUP((SUM($C$3:$C68)/8-1),0)</f>
        <v>99</v>
      </c>
      <c r="H68" s="2">
        <v>27</v>
      </c>
      <c r="I68" s="2">
        <v>27</v>
      </c>
      <c r="J68" s="2">
        <v>27</v>
      </c>
      <c r="K68" s="2">
        <v>27</v>
      </c>
    </row>
    <row r="69" spans="1:11" x14ac:dyDescent="0.25">
      <c r="B69" t="s">
        <v>132</v>
      </c>
      <c r="C69">
        <v>16</v>
      </c>
      <c r="D69" t="s">
        <v>133</v>
      </c>
      <c r="E69" s="2">
        <f>ROUNDDOWN(SUM($C$3:$C68)/8,0)</f>
        <v>100</v>
      </c>
      <c r="F69" s="2">
        <f>ROUNDUP((SUM($C$3:$C69)/8-1),0)</f>
        <v>101</v>
      </c>
      <c r="H69" s="2">
        <v>339</v>
      </c>
      <c r="I69" s="2">
        <v>339</v>
      </c>
      <c r="J69" s="2">
        <v>339</v>
      </c>
      <c r="K69" s="2">
        <v>339</v>
      </c>
    </row>
    <row r="70" spans="1:11" x14ac:dyDescent="0.25">
      <c r="B70" t="s">
        <v>134</v>
      </c>
      <c r="C70">
        <v>16</v>
      </c>
      <c r="D70" t="s">
        <v>135</v>
      </c>
      <c r="E70" s="2">
        <f>ROUNDDOWN(SUM($C$3:$C69)/8,0)</f>
        <v>102</v>
      </c>
      <c r="F70" s="2">
        <f>ROUNDUP((SUM($C$3:$C70)/8-1),0)</f>
        <v>103</v>
      </c>
      <c r="H70" s="2">
        <v>731</v>
      </c>
      <c r="I70" s="2">
        <v>731</v>
      </c>
      <c r="J70" s="2">
        <v>731</v>
      </c>
      <c r="K70" s="2">
        <v>731</v>
      </c>
    </row>
    <row r="71" spans="1:11" x14ac:dyDescent="0.25">
      <c r="A71" t="s">
        <v>136</v>
      </c>
      <c r="B71" t="s">
        <v>137</v>
      </c>
      <c r="C71">
        <v>8</v>
      </c>
      <c r="D71" t="s">
        <v>138</v>
      </c>
      <c r="E71" s="2">
        <f>ROUNDDOWN(SUM($C$3:$C70)/8,0)</f>
        <v>104</v>
      </c>
      <c r="F71" s="2">
        <f>ROUNDUP((SUM($C$3:$C71)/8-1),0)</f>
        <v>104</v>
      </c>
      <c r="G71" t="s">
        <v>139</v>
      </c>
      <c r="H71">
        <v>3</v>
      </c>
      <c r="I71">
        <v>3</v>
      </c>
      <c r="J71">
        <v>3</v>
      </c>
      <c r="K71">
        <v>3</v>
      </c>
    </row>
    <row r="72" spans="1:11" x14ac:dyDescent="0.25">
      <c r="B72" t="s">
        <v>140</v>
      </c>
      <c r="C72">
        <v>16</v>
      </c>
      <c r="D72" t="s">
        <v>141</v>
      </c>
      <c r="E72" s="2">
        <f>ROUNDDOWN(SUM($C$3:$C71)/8,0)</f>
        <v>105</v>
      </c>
      <c r="F72" s="2">
        <f>ROUNDUP((SUM($C$3:$C72)/8-1),0)</f>
        <v>106</v>
      </c>
      <c r="G72" t="s">
        <v>139</v>
      </c>
      <c r="H72">
        <v>30</v>
      </c>
      <c r="I72">
        <v>30</v>
      </c>
      <c r="J72">
        <v>30</v>
      </c>
      <c r="K72">
        <v>30</v>
      </c>
    </row>
    <row r="73" spans="1:11" x14ac:dyDescent="0.25">
      <c r="B73" t="s">
        <v>142</v>
      </c>
      <c r="C73">
        <v>16</v>
      </c>
      <c r="D73" t="s">
        <v>143</v>
      </c>
      <c r="E73" s="2">
        <f>ROUNDDOWN(SUM($C$3:$C72)/8,0)</f>
        <v>107</v>
      </c>
      <c r="F73" s="2">
        <f>ROUNDUP((SUM($C$3:$C73)/8-1),0)</f>
        <v>108</v>
      </c>
      <c r="G73" t="s">
        <v>139</v>
      </c>
      <c r="H73">
        <v>60</v>
      </c>
      <c r="I73">
        <v>60</v>
      </c>
      <c r="J73">
        <v>60</v>
      </c>
      <c r="K73">
        <v>60</v>
      </c>
    </row>
    <row r="74" spans="1:11" x14ac:dyDescent="0.25">
      <c r="B74" t="s">
        <v>144</v>
      </c>
      <c r="C74">
        <v>16</v>
      </c>
      <c r="D74" t="s">
        <v>145</v>
      </c>
      <c r="E74" s="2">
        <f>ROUNDDOWN(SUM($C$3:$C73)/8,0)</f>
        <v>109</v>
      </c>
      <c r="F74" s="2">
        <f>ROUNDUP((SUM($C$3:$C74)/8-1),0)</f>
        <v>110</v>
      </c>
      <c r="G74" t="s">
        <v>139</v>
      </c>
      <c r="H74">
        <v>90</v>
      </c>
      <c r="I74">
        <v>90</v>
      </c>
      <c r="J74">
        <v>90</v>
      </c>
      <c r="K74">
        <v>90</v>
      </c>
    </row>
    <row r="75" spans="1:11" x14ac:dyDescent="0.25">
      <c r="B75" t="s">
        <v>146</v>
      </c>
      <c r="C75">
        <v>16</v>
      </c>
      <c r="D75" t="s">
        <v>147</v>
      </c>
      <c r="E75" s="2">
        <f>ROUNDDOWN(SUM($C$3:$C74)/8,0)</f>
        <v>111</v>
      </c>
      <c r="F75" s="2">
        <f>ROUNDUP((SUM($C$3:$C75)/8-1),0)</f>
        <v>112</v>
      </c>
      <c r="G75" t="s">
        <v>139</v>
      </c>
      <c r="H75">
        <v>120</v>
      </c>
      <c r="I75">
        <v>120</v>
      </c>
      <c r="J75">
        <v>120</v>
      </c>
      <c r="K75">
        <v>120</v>
      </c>
    </row>
    <row r="76" spans="1:11" x14ac:dyDescent="0.25">
      <c r="B76" t="s">
        <v>148</v>
      </c>
      <c r="C76">
        <v>8</v>
      </c>
      <c r="D76" t="s">
        <v>149</v>
      </c>
      <c r="E76" s="2">
        <f>ROUNDDOWN(SUM($C$3:$C75)/8,0)</f>
        <v>113</v>
      </c>
      <c r="F76" s="2">
        <f>ROUNDUP((SUM($C$3:$C76)/8-1),0)</f>
        <v>113</v>
      </c>
      <c r="G76" t="s">
        <v>150</v>
      </c>
      <c r="H76">
        <v>20</v>
      </c>
      <c r="I76">
        <v>20</v>
      </c>
      <c r="J76">
        <v>20</v>
      </c>
      <c r="K76">
        <v>20</v>
      </c>
    </row>
    <row r="77" spans="1:11" x14ac:dyDescent="0.25">
      <c r="B77" t="s">
        <v>151</v>
      </c>
      <c r="C77">
        <v>8</v>
      </c>
      <c r="D77" t="s">
        <v>152</v>
      </c>
      <c r="E77" s="2">
        <f>ROUNDDOWN(SUM($C$3:$C76)/8,0)</f>
        <v>114</v>
      </c>
      <c r="F77" s="2">
        <f>ROUNDUP((SUM($C$3:$C77)/8-1),0)</f>
        <v>114</v>
      </c>
      <c r="G77" t="s">
        <v>150</v>
      </c>
      <c r="H77">
        <v>15</v>
      </c>
      <c r="I77">
        <v>15</v>
      </c>
      <c r="J77">
        <v>15</v>
      </c>
      <c r="K77">
        <v>15</v>
      </c>
    </row>
    <row r="78" spans="1:11" x14ac:dyDescent="0.25">
      <c r="B78" t="s">
        <v>153</v>
      </c>
      <c r="C78">
        <v>8</v>
      </c>
      <c r="D78" t="s">
        <v>154</v>
      </c>
      <c r="E78" s="2">
        <f>ROUNDDOWN(SUM($C$3:$C77)/8,0)</f>
        <v>115</v>
      </c>
      <c r="F78" s="2">
        <f>ROUNDUP((SUM($C$3:$C78)/8-1),0)</f>
        <v>115</v>
      </c>
      <c r="G78" t="s">
        <v>150</v>
      </c>
      <c r="H78">
        <v>10</v>
      </c>
      <c r="I78">
        <v>10</v>
      </c>
      <c r="J78">
        <v>10</v>
      </c>
      <c r="K78">
        <v>10</v>
      </c>
    </row>
    <row r="79" spans="1:11" x14ac:dyDescent="0.25">
      <c r="B79" t="s">
        <v>155</v>
      </c>
      <c r="C79">
        <v>8</v>
      </c>
      <c r="D79" t="s">
        <v>156</v>
      </c>
      <c r="E79" s="2">
        <f>ROUNDDOWN(SUM($C$3:$C78)/8,0)</f>
        <v>116</v>
      </c>
      <c r="F79" s="2">
        <f>ROUNDUP((SUM($C$3:$C79)/8-1),0)</f>
        <v>116</v>
      </c>
      <c r="G79" t="s">
        <v>150</v>
      </c>
      <c r="H79">
        <v>5</v>
      </c>
      <c r="I79">
        <v>5</v>
      </c>
      <c r="J79">
        <v>5</v>
      </c>
      <c r="K79">
        <v>5</v>
      </c>
    </row>
    <row r="80" spans="1:11" x14ac:dyDescent="0.25">
      <c r="B80" t="s">
        <v>157</v>
      </c>
      <c r="C80">
        <v>8</v>
      </c>
      <c r="D80" t="s">
        <v>158</v>
      </c>
      <c r="E80" s="2">
        <f>ROUNDDOWN(SUM($C$3:$C79)/8,0)</f>
        <v>117</v>
      </c>
      <c r="F80" s="2">
        <f>ROUNDUP((SUM($C$3:$C80)/8-1),0)</f>
        <v>117</v>
      </c>
      <c r="G80" t="s">
        <v>150</v>
      </c>
      <c r="H80">
        <v>1</v>
      </c>
      <c r="I80">
        <v>1</v>
      </c>
      <c r="J80">
        <v>1</v>
      </c>
      <c r="K80">
        <v>1</v>
      </c>
    </row>
    <row r="81" spans="1:11" ht="17.25" customHeight="1" x14ac:dyDescent="0.25">
      <c r="B81" t="s">
        <v>159</v>
      </c>
      <c r="C81">
        <v>8</v>
      </c>
      <c r="D81" t="s">
        <v>160</v>
      </c>
      <c r="E81" s="2">
        <f>ROUNDDOWN(SUM($C$3:$C80)/8,0)</f>
        <v>118</v>
      </c>
      <c r="F81" s="2">
        <f>ROUNDUP((SUM($C$3:$C81)/8-1),0)</f>
        <v>118</v>
      </c>
      <c r="H81">
        <v>3</v>
      </c>
      <c r="I81">
        <v>3</v>
      </c>
      <c r="J81">
        <v>3</v>
      </c>
      <c r="K81">
        <v>3</v>
      </c>
    </row>
    <row r="82" spans="1:11" x14ac:dyDescent="0.25">
      <c r="A82" t="s">
        <v>162</v>
      </c>
      <c r="B82" t="s">
        <v>163</v>
      </c>
      <c r="C82">
        <v>16</v>
      </c>
      <c r="D82" t="s">
        <v>164</v>
      </c>
      <c r="E82" s="2">
        <f>ROUNDDOWN(SUM($C$3:$C81)/8,0)</f>
        <v>119</v>
      </c>
      <c r="F82" s="2">
        <f>ROUNDUP((SUM($C$3:$C82)/8-1),0)</f>
        <v>120</v>
      </c>
      <c r="G82" t="s">
        <v>165</v>
      </c>
      <c r="H82">
        <v>1100</v>
      </c>
      <c r="I82">
        <v>1100</v>
      </c>
      <c r="J82">
        <v>1100</v>
      </c>
      <c r="K82">
        <v>1100</v>
      </c>
    </row>
    <row r="83" spans="1:11" x14ac:dyDescent="0.25">
      <c r="B83" t="s">
        <v>166</v>
      </c>
      <c r="C83">
        <v>16</v>
      </c>
      <c r="D83" t="s">
        <v>167</v>
      </c>
      <c r="E83" s="2">
        <f>ROUNDDOWN(SUM($C$3:$C82)/8,0)</f>
        <v>121</v>
      </c>
      <c r="F83" s="2">
        <f>ROUNDUP((SUM($C$3:$C83)/8-1),0)</f>
        <v>122</v>
      </c>
      <c r="G83" t="s">
        <v>165</v>
      </c>
      <c r="H83">
        <v>300</v>
      </c>
      <c r="I83">
        <v>300</v>
      </c>
      <c r="J83">
        <v>300</v>
      </c>
      <c r="K83">
        <v>300</v>
      </c>
    </row>
    <row r="84" spans="1:11" x14ac:dyDescent="0.25">
      <c r="B84" t="s">
        <v>168</v>
      </c>
      <c r="C84">
        <v>16</v>
      </c>
      <c r="D84" t="s">
        <v>169</v>
      </c>
      <c r="E84" s="2">
        <f>ROUNDDOWN(SUM($C$3:$C83)/8,0)</f>
        <v>123</v>
      </c>
      <c r="F84" s="2">
        <f>ROUNDUP((SUM($C$3:$C84)/8-1),0)</f>
        <v>124</v>
      </c>
      <c r="G84" t="s">
        <v>165</v>
      </c>
      <c r="H84">
        <v>300</v>
      </c>
      <c r="I84">
        <v>300</v>
      </c>
      <c r="J84">
        <v>300</v>
      </c>
      <c r="K84">
        <v>300</v>
      </c>
    </row>
    <row r="85" spans="1:11" x14ac:dyDescent="0.25">
      <c r="B85" t="s">
        <v>170</v>
      </c>
      <c r="C85">
        <v>16</v>
      </c>
      <c r="D85" t="s">
        <v>171</v>
      </c>
      <c r="E85" s="2">
        <f>ROUNDDOWN(SUM($C$3:$C84)/8,0)</f>
        <v>125</v>
      </c>
      <c r="F85" s="2">
        <f>ROUNDUP((SUM($C$3:$C85)/8-1),0)</f>
        <v>126</v>
      </c>
      <c r="G85" t="s">
        <v>165</v>
      </c>
      <c r="H85">
        <v>300</v>
      </c>
      <c r="I85">
        <v>300</v>
      </c>
      <c r="J85">
        <v>300</v>
      </c>
      <c r="K85">
        <v>300</v>
      </c>
    </row>
    <row r="86" spans="1:11" x14ac:dyDescent="0.25">
      <c r="B86" t="s">
        <v>172</v>
      </c>
      <c r="C86">
        <v>16</v>
      </c>
      <c r="D86" t="s">
        <v>173</v>
      </c>
      <c r="E86" s="2">
        <f>ROUNDDOWN(SUM($C$3:$C85)/8,0)</f>
        <v>127</v>
      </c>
      <c r="F86" s="2">
        <f>ROUNDUP((SUM($C$3:$C86)/8-1),0)</f>
        <v>128</v>
      </c>
      <c r="G86" t="s">
        <v>165</v>
      </c>
      <c r="H86">
        <v>250</v>
      </c>
      <c r="I86">
        <v>250</v>
      </c>
      <c r="J86">
        <v>250</v>
      </c>
      <c r="K86">
        <v>250</v>
      </c>
    </row>
    <row r="87" spans="1:11" x14ac:dyDescent="0.25">
      <c r="B87" t="s">
        <v>174</v>
      </c>
      <c r="C87">
        <v>16</v>
      </c>
      <c r="D87" t="s">
        <v>175</v>
      </c>
      <c r="E87" s="2">
        <f>ROUNDDOWN(SUM($C$3:$C86)/8,0)</f>
        <v>129</v>
      </c>
      <c r="F87" s="2">
        <f>ROUNDUP((SUM($C$3:$C87)/8-1),0)</f>
        <v>130</v>
      </c>
      <c r="G87" t="s">
        <v>165</v>
      </c>
      <c r="H87">
        <v>1100</v>
      </c>
      <c r="I87">
        <v>1100</v>
      </c>
      <c r="J87">
        <v>1100</v>
      </c>
      <c r="K87">
        <v>1100</v>
      </c>
    </row>
    <row r="88" spans="1:11" x14ac:dyDescent="0.25">
      <c r="B88" t="s">
        <v>176</v>
      </c>
      <c r="C88">
        <v>16</v>
      </c>
      <c r="D88" t="s">
        <v>177</v>
      </c>
      <c r="E88" s="2">
        <f>ROUNDDOWN(SUM($C$3:$C87)/8,0)</f>
        <v>131</v>
      </c>
      <c r="F88" s="2">
        <f>ROUNDUP((SUM($C$3:$C88)/8-1),0)</f>
        <v>132</v>
      </c>
      <c r="G88" t="s">
        <v>165</v>
      </c>
      <c r="H88">
        <v>300</v>
      </c>
      <c r="I88">
        <v>300</v>
      </c>
      <c r="J88">
        <v>300</v>
      </c>
      <c r="K88">
        <v>300</v>
      </c>
    </row>
    <row r="89" spans="1:11" x14ac:dyDescent="0.25">
      <c r="B89" t="s">
        <v>178</v>
      </c>
      <c r="C89">
        <v>16</v>
      </c>
      <c r="D89" t="s">
        <v>179</v>
      </c>
      <c r="E89" s="2">
        <f>ROUNDDOWN(SUM($C$3:$C88)/8,0)</f>
        <v>133</v>
      </c>
      <c r="F89" s="2">
        <f>ROUNDUP((SUM($C$3:$C89)/8-1),0)</f>
        <v>134</v>
      </c>
      <c r="G89" t="s">
        <v>165</v>
      </c>
      <c r="H89">
        <v>300</v>
      </c>
      <c r="I89">
        <v>300</v>
      </c>
      <c r="J89">
        <v>300</v>
      </c>
      <c r="K89">
        <v>300</v>
      </c>
    </row>
    <row r="90" spans="1:11" x14ac:dyDescent="0.25">
      <c r="B90" t="s">
        <v>180</v>
      </c>
      <c r="C90">
        <v>16</v>
      </c>
      <c r="D90" t="s">
        <v>181</v>
      </c>
      <c r="E90" s="2">
        <f>ROUNDDOWN(SUM($C$3:$C89)/8,0)</f>
        <v>135</v>
      </c>
      <c r="F90" s="2">
        <f>ROUNDUP((SUM($C$3:$C90)/8-1),0)</f>
        <v>136</v>
      </c>
      <c r="G90" t="s">
        <v>165</v>
      </c>
      <c r="H90">
        <v>300</v>
      </c>
      <c r="I90">
        <v>300</v>
      </c>
      <c r="J90">
        <v>300</v>
      </c>
      <c r="K90">
        <v>300</v>
      </c>
    </row>
    <row r="91" spans="1:11" x14ac:dyDescent="0.25">
      <c r="B91" t="s">
        <v>182</v>
      </c>
      <c r="C91">
        <v>16</v>
      </c>
      <c r="D91" t="s">
        <v>183</v>
      </c>
      <c r="E91" s="2">
        <f>ROUNDDOWN(SUM($C$3:$C90)/8,0)</f>
        <v>137</v>
      </c>
      <c r="F91" s="2">
        <f>ROUNDUP((SUM($C$3:$C91)/8-1),0)</f>
        <v>138</v>
      </c>
      <c r="G91" t="s">
        <v>165</v>
      </c>
      <c r="H91">
        <v>250</v>
      </c>
      <c r="I91">
        <v>250</v>
      </c>
      <c r="J91">
        <v>250</v>
      </c>
      <c r="K91">
        <v>250</v>
      </c>
    </row>
    <row r="92" spans="1:11" x14ac:dyDescent="0.25">
      <c r="B92" t="s">
        <v>184</v>
      </c>
      <c r="C92">
        <v>16</v>
      </c>
      <c r="D92" t="s">
        <v>185</v>
      </c>
      <c r="E92" s="2">
        <f>ROUNDDOWN(SUM($C$3:$C91)/8,0)</f>
        <v>139</v>
      </c>
      <c r="F92" s="2">
        <f>ROUNDUP((SUM($C$3:$C92)/8-1),0)</f>
        <v>140</v>
      </c>
      <c r="G92" t="s">
        <v>165</v>
      </c>
      <c r="H92">
        <v>200</v>
      </c>
      <c r="I92">
        <v>200</v>
      </c>
      <c r="J92">
        <v>200</v>
      </c>
      <c r="K92">
        <v>200</v>
      </c>
    </row>
    <row r="93" spans="1:11" x14ac:dyDescent="0.25">
      <c r="B93" t="s">
        <v>186</v>
      </c>
      <c r="C93">
        <v>16</v>
      </c>
      <c r="D93" t="s">
        <v>187</v>
      </c>
      <c r="E93" s="2">
        <f>ROUNDDOWN(SUM($C$3:$C92)/8,0)</f>
        <v>141</v>
      </c>
      <c r="F93" s="2">
        <f>ROUNDUP((SUM($C$3:$C93)/8-1),0)</f>
        <v>142</v>
      </c>
      <c r="G93" t="s">
        <v>165</v>
      </c>
      <c r="H93">
        <v>5300</v>
      </c>
      <c r="I93">
        <v>5300</v>
      </c>
      <c r="J93">
        <v>5300</v>
      </c>
      <c r="K93">
        <v>5300</v>
      </c>
    </row>
    <row r="94" spans="1:11" x14ac:dyDescent="0.25">
      <c r="B94" t="s">
        <v>188</v>
      </c>
      <c r="C94">
        <v>16</v>
      </c>
      <c r="D94" t="s">
        <v>189</v>
      </c>
      <c r="E94" s="2">
        <f>ROUNDDOWN(SUM($C$3:$C93)/8,0)</f>
        <v>143</v>
      </c>
      <c r="F94" s="2">
        <f>ROUNDUP((SUM($C$3:$C94)/8-1),0)</f>
        <v>144</v>
      </c>
      <c r="G94" t="s">
        <v>165</v>
      </c>
      <c r="H94">
        <v>1100</v>
      </c>
      <c r="I94">
        <v>1100</v>
      </c>
      <c r="J94">
        <v>1100</v>
      </c>
      <c r="K94">
        <v>1100</v>
      </c>
    </row>
    <row r="95" spans="1:11" x14ac:dyDescent="0.25">
      <c r="B95" t="s">
        <v>190</v>
      </c>
      <c r="C95">
        <v>16</v>
      </c>
      <c r="D95" t="s">
        <v>191</v>
      </c>
      <c r="E95" s="2">
        <f>ROUNDDOWN(SUM($C$3:$C94)/8,0)</f>
        <v>145</v>
      </c>
      <c r="F95" s="2">
        <f>ROUNDUP((SUM($C$3:$C95)/8-1),0)</f>
        <v>146</v>
      </c>
      <c r="G95" t="s">
        <v>165</v>
      </c>
      <c r="H95">
        <v>1100</v>
      </c>
      <c r="I95">
        <v>1100</v>
      </c>
      <c r="J95">
        <v>1100</v>
      </c>
      <c r="K95">
        <v>1100</v>
      </c>
    </row>
    <row r="96" spans="1:11" x14ac:dyDescent="0.25">
      <c r="B96" t="s">
        <v>192</v>
      </c>
      <c r="C96">
        <v>16</v>
      </c>
      <c r="D96" t="s">
        <v>193</v>
      </c>
      <c r="E96" s="2">
        <f>ROUNDDOWN(SUM($C$3:$C95)/8,0)</f>
        <v>147</v>
      </c>
      <c r="F96" s="2">
        <f>ROUNDUP((SUM($C$3:$C96)/8-1),0)</f>
        <v>148</v>
      </c>
      <c r="G96" t="s">
        <v>165</v>
      </c>
      <c r="H96">
        <v>1100</v>
      </c>
      <c r="I96">
        <v>1100</v>
      </c>
      <c r="J96">
        <v>1100</v>
      </c>
      <c r="K96">
        <v>1100</v>
      </c>
    </row>
    <row r="97" spans="2:11" x14ac:dyDescent="0.25">
      <c r="B97" t="s">
        <v>194</v>
      </c>
      <c r="C97">
        <v>16</v>
      </c>
      <c r="D97" t="s">
        <v>195</v>
      </c>
      <c r="E97" s="2">
        <f>ROUNDDOWN(SUM($C$3:$C96)/8,0)</f>
        <v>149</v>
      </c>
      <c r="F97" s="2">
        <f>ROUNDUP((SUM($C$3:$C97)/8-1),0)</f>
        <v>150</v>
      </c>
      <c r="G97" t="s">
        <v>165</v>
      </c>
      <c r="H97">
        <v>1100</v>
      </c>
      <c r="I97">
        <v>1100</v>
      </c>
      <c r="J97">
        <v>1100</v>
      </c>
      <c r="K97">
        <v>1100</v>
      </c>
    </row>
    <row r="98" spans="2:11" x14ac:dyDescent="0.25">
      <c r="B98" t="s">
        <v>196</v>
      </c>
      <c r="C98">
        <v>16</v>
      </c>
      <c r="D98" t="s">
        <v>197</v>
      </c>
      <c r="E98" s="2">
        <f>ROUNDDOWN(SUM($C$3:$C97)/8,0)</f>
        <v>151</v>
      </c>
      <c r="F98" s="2">
        <f>ROUNDUP((SUM($C$3:$C98)/8-1),0)</f>
        <v>152</v>
      </c>
      <c r="G98" t="s">
        <v>165</v>
      </c>
      <c r="H98">
        <v>5300</v>
      </c>
      <c r="I98">
        <v>5300</v>
      </c>
      <c r="J98">
        <v>5300</v>
      </c>
      <c r="K98">
        <v>5300</v>
      </c>
    </row>
    <row r="99" spans="2:11" x14ac:dyDescent="0.25">
      <c r="B99" t="s">
        <v>198</v>
      </c>
      <c r="C99">
        <v>16</v>
      </c>
      <c r="D99" t="s">
        <v>199</v>
      </c>
      <c r="E99" s="2">
        <f>ROUNDDOWN(SUM($C$3:$C98)/8,0)</f>
        <v>153</v>
      </c>
      <c r="F99" s="2">
        <f>ROUNDUP((SUM($C$3:$C99)/8-1),0)</f>
        <v>154</v>
      </c>
      <c r="G99" t="s">
        <v>165</v>
      </c>
      <c r="H99">
        <v>1100</v>
      </c>
      <c r="I99">
        <v>1100</v>
      </c>
      <c r="J99">
        <v>1100</v>
      </c>
      <c r="K99">
        <v>1100</v>
      </c>
    </row>
    <row r="100" spans="2:11" x14ac:dyDescent="0.25">
      <c r="B100" t="s">
        <v>200</v>
      </c>
      <c r="C100">
        <v>16</v>
      </c>
      <c r="D100" t="s">
        <v>201</v>
      </c>
      <c r="E100" s="2">
        <f>ROUNDDOWN(SUM($C$3:$C99)/8,0)</f>
        <v>155</v>
      </c>
      <c r="F100" s="2">
        <f>ROUNDUP((SUM($C$3:$C100)/8-1),0)</f>
        <v>156</v>
      </c>
      <c r="G100" t="s">
        <v>165</v>
      </c>
      <c r="H100">
        <v>1100</v>
      </c>
      <c r="I100">
        <v>1100</v>
      </c>
      <c r="J100">
        <v>1100</v>
      </c>
      <c r="K100">
        <v>1100</v>
      </c>
    </row>
    <row r="101" spans="2:11" x14ac:dyDescent="0.25">
      <c r="B101" t="s">
        <v>202</v>
      </c>
      <c r="C101">
        <v>16</v>
      </c>
      <c r="D101" t="s">
        <v>203</v>
      </c>
      <c r="E101" s="2">
        <f>ROUNDDOWN(SUM($C$3:$C100)/8,0)</f>
        <v>157</v>
      </c>
      <c r="F101" s="2">
        <f>ROUNDUP((SUM($C$3:$C101)/8-1),0)</f>
        <v>158</v>
      </c>
      <c r="G101" t="s">
        <v>165</v>
      </c>
      <c r="H101">
        <v>1100</v>
      </c>
      <c r="I101">
        <v>1100</v>
      </c>
      <c r="J101">
        <v>1100</v>
      </c>
      <c r="K101">
        <v>1100</v>
      </c>
    </row>
    <row r="102" spans="2:11" x14ac:dyDescent="0.25">
      <c r="B102" t="s">
        <v>204</v>
      </c>
      <c r="C102">
        <v>16</v>
      </c>
      <c r="D102" t="s">
        <v>205</v>
      </c>
      <c r="E102" s="2">
        <f>ROUNDDOWN(SUM($C$3:$C101)/8,0)</f>
        <v>159</v>
      </c>
      <c r="F102" s="2">
        <f>ROUNDUP((SUM($C$3:$C102)/8-1),0)</f>
        <v>160</v>
      </c>
      <c r="G102" t="s">
        <v>165</v>
      </c>
      <c r="H102">
        <v>1100</v>
      </c>
      <c r="I102">
        <v>1100</v>
      </c>
      <c r="J102">
        <v>1100</v>
      </c>
      <c r="K102">
        <v>1100</v>
      </c>
    </row>
    <row r="103" spans="2:11" x14ac:dyDescent="0.25">
      <c r="B103" t="s">
        <v>206</v>
      </c>
      <c r="C103">
        <v>16</v>
      </c>
      <c r="D103" t="s">
        <v>207</v>
      </c>
      <c r="E103" s="2">
        <f>ROUNDDOWN(SUM($C$3:$C102)/8,0)</f>
        <v>161</v>
      </c>
      <c r="F103" s="2">
        <f>ROUNDUP((SUM($C$3:$C103)/8-1),0)</f>
        <v>162</v>
      </c>
      <c r="G103" t="s">
        <v>208</v>
      </c>
      <c r="H103">
        <v>5</v>
      </c>
      <c r="I103">
        <v>5</v>
      </c>
      <c r="J103">
        <v>5</v>
      </c>
      <c r="K103">
        <v>5</v>
      </c>
    </row>
    <row r="104" spans="2:11" x14ac:dyDescent="0.25">
      <c r="B104" t="s">
        <v>209</v>
      </c>
      <c r="C104">
        <v>16</v>
      </c>
      <c r="D104" t="s">
        <v>210</v>
      </c>
      <c r="E104" s="2">
        <f>ROUNDDOWN(SUM($C$3:$C103)/8,0)</f>
        <v>163</v>
      </c>
      <c r="F104" s="2">
        <f>ROUNDUP((SUM($C$3:$C104)/8-1),0)</f>
        <v>164</v>
      </c>
      <c r="G104" t="s">
        <v>208</v>
      </c>
      <c r="H104">
        <v>10</v>
      </c>
      <c r="I104">
        <v>10</v>
      </c>
      <c r="J104">
        <v>10</v>
      </c>
      <c r="K104">
        <v>10</v>
      </c>
    </row>
    <row r="105" spans="2:11" x14ac:dyDescent="0.25">
      <c r="B105" t="s">
        <v>211</v>
      </c>
      <c r="C105">
        <v>16</v>
      </c>
      <c r="D105" t="s">
        <v>212</v>
      </c>
      <c r="E105" s="2">
        <f>ROUNDDOWN(SUM($C$3:$C104)/8,0)</f>
        <v>165</v>
      </c>
      <c r="F105" s="2">
        <f>ROUNDUP((SUM($C$3:$C105)/8-1),0)</f>
        <v>166</v>
      </c>
      <c r="G105" t="s">
        <v>208</v>
      </c>
      <c r="H105">
        <v>15</v>
      </c>
      <c r="I105">
        <v>15</v>
      </c>
      <c r="J105">
        <v>15</v>
      </c>
      <c r="K105">
        <v>15</v>
      </c>
    </row>
    <row r="106" spans="2:11" x14ac:dyDescent="0.25">
      <c r="B106" t="s">
        <v>213</v>
      </c>
      <c r="C106">
        <v>16</v>
      </c>
      <c r="D106" t="s">
        <v>214</v>
      </c>
      <c r="E106" s="2">
        <f>ROUNDDOWN(SUM($C$3:$C105)/8,0)</f>
        <v>167</v>
      </c>
      <c r="F106" s="2">
        <f>ROUNDUP((SUM($C$3:$C106)/8-1),0)</f>
        <v>168</v>
      </c>
      <c r="G106" t="s">
        <v>208</v>
      </c>
      <c r="H106">
        <v>20</v>
      </c>
      <c r="I106">
        <v>20</v>
      </c>
      <c r="J106">
        <v>20</v>
      </c>
      <c r="K106">
        <v>20</v>
      </c>
    </row>
    <row r="107" spans="2:11" x14ac:dyDescent="0.25">
      <c r="B107" t="s">
        <v>215</v>
      </c>
      <c r="C107">
        <v>16</v>
      </c>
      <c r="D107" t="s">
        <v>216</v>
      </c>
      <c r="E107" s="2">
        <f>ROUNDDOWN(SUM($C$3:$C106)/8,0)</f>
        <v>169</v>
      </c>
      <c r="F107" s="2">
        <f>ROUNDUP((SUM($C$3:$C107)/8-1),0)</f>
        <v>170</v>
      </c>
      <c r="G107" t="s">
        <v>208</v>
      </c>
      <c r="H107">
        <v>200</v>
      </c>
      <c r="I107">
        <v>200</v>
      </c>
      <c r="J107">
        <v>200</v>
      </c>
      <c r="K107">
        <v>200</v>
      </c>
    </row>
    <row r="108" spans="2:11" x14ac:dyDescent="0.25">
      <c r="B108" t="s">
        <v>217</v>
      </c>
      <c r="C108">
        <v>16</v>
      </c>
      <c r="D108" t="s">
        <v>218</v>
      </c>
      <c r="E108" s="2">
        <f>ROUNDDOWN(SUM($C$3:$C107)/8,0)</f>
        <v>171</v>
      </c>
      <c r="F108" s="2">
        <f>ROUNDUP((SUM($C$3:$C108)/8-1),0)</f>
        <v>172</v>
      </c>
      <c r="G108" t="s">
        <v>208</v>
      </c>
      <c r="H108">
        <v>80</v>
      </c>
      <c r="I108">
        <v>80</v>
      </c>
      <c r="J108">
        <v>80</v>
      </c>
      <c r="K108">
        <v>80</v>
      </c>
    </row>
    <row r="109" spans="2:11" x14ac:dyDescent="0.25">
      <c r="B109" t="s">
        <v>219</v>
      </c>
      <c r="C109">
        <v>16</v>
      </c>
      <c r="D109" t="s">
        <v>220</v>
      </c>
      <c r="E109" s="2">
        <f>ROUNDDOWN(SUM($C$3:$C108)/8,0)</f>
        <v>173</v>
      </c>
      <c r="F109" s="2">
        <f>ROUNDUP((SUM($C$3:$C109)/8-1),0)</f>
        <v>174</v>
      </c>
      <c r="G109" t="s">
        <v>208</v>
      </c>
      <c r="H109">
        <v>200</v>
      </c>
      <c r="I109">
        <v>200</v>
      </c>
      <c r="J109">
        <v>200</v>
      </c>
      <c r="K109">
        <v>200</v>
      </c>
    </row>
    <row r="110" spans="2:11" x14ac:dyDescent="0.25">
      <c r="B110" t="s">
        <v>221</v>
      </c>
      <c r="C110">
        <v>16</v>
      </c>
      <c r="D110" t="s">
        <v>222</v>
      </c>
      <c r="E110" s="2">
        <f>ROUNDDOWN(SUM($C$3:$C109)/8,0)</f>
        <v>175</v>
      </c>
      <c r="F110" s="2">
        <f>ROUNDUP((SUM($C$3:$C110)/8-1),0)</f>
        <v>176</v>
      </c>
      <c r="G110" t="s">
        <v>208</v>
      </c>
      <c r="H110">
        <v>400</v>
      </c>
      <c r="I110">
        <v>400</v>
      </c>
      <c r="J110">
        <v>400</v>
      </c>
      <c r="K110">
        <v>400</v>
      </c>
    </row>
    <row r="111" spans="2:11" x14ac:dyDescent="0.25">
      <c r="B111" t="s">
        <v>223</v>
      </c>
      <c r="C111">
        <v>16</v>
      </c>
      <c r="D111" t="s">
        <v>224</v>
      </c>
      <c r="E111" s="2">
        <f>ROUNDDOWN(SUM($C$3:$C110)/8,0)</f>
        <v>177</v>
      </c>
      <c r="F111" s="2">
        <f>ROUNDUP((SUM($C$3:$C111)/8-1),0)</f>
        <v>178</v>
      </c>
      <c r="G111" t="s">
        <v>208</v>
      </c>
      <c r="H111">
        <v>600</v>
      </c>
      <c r="I111">
        <v>600</v>
      </c>
      <c r="J111">
        <v>600</v>
      </c>
      <c r="K111">
        <v>600</v>
      </c>
    </row>
    <row r="112" spans="2:11" x14ac:dyDescent="0.25">
      <c r="B112" t="s">
        <v>225</v>
      </c>
      <c r="C112">
        <v>16</v>
      </c>
      <c r="D112" t="s">
        <v>226</v>
      </c>
      <c r="E112" s="2">
        <f>ROUNDDOWN(SUM($C$3:$C111)/8,0)</f>
        <v>179</v>
      </c>
      <c r="F112" s="2">
        <f>ROUNDUP((SUM($C$3:$C112)/8-1),0)</f>
        <v>180</v>
      </c>
      <c r="G112" t="s">
        <v>208</v>
      </c>
      <c r="H112">
        <v>3000</v>
      </c>
      <c r="I112">
        <v>3000</v>
      </c>
      <c r="J112">
        <v>3000</v>
      </c>
      <c r="K112">
        <v>3000</v>
      </c>
    </row>
    <row r="113" spans="1:11" x14ac:dyDescent="0.25">
      <c r="B113" t="s">
        <v>227</v>
      </c>
      <c r="C113">
        <v>8</v>
      </c>
      <c r="E113" s="2">
        <f>ROUNDDOWN(SUM($C$3:$C112)/8,0)</f>
        <v>181</v>
      </c>
      <c r="F113" s="2">
        <f>ROUNDUP((SUM($C$3:$C113)/8-1),0)</f>
        <v>181</v>
      </c>
      <c r="G113" t="s">
        <v>228</v>
      </c>
      <c r="H113">
        <v>100</v>
      </c>
      <c r="I113">
        <v>100</v>
      </c>
      <c r="J113">
        <v>100</v>
      </c>
      <c r="K113">
        <v>100</v>
      </c>
    </row>
    <row r="114" spans="1:11" x14ac:dyDescent="0.25">
      <c r="B114" t="s">
        <v>229</v>
      </c>
      <c r="C114">
        <v>8</v>
      </c>
      <c r="E114" s="2">
        <f>ROUNDDOWN(SUM($C$3:$C113)/8,0)</f>
        <v>182</v>
      </c>
      <c r="F114" s="2">
        <f>ROUNDUP((SUM($C$3:$C114)/8-1),0)</f>
        <v>182</v>
      </c>
      <c r="G114" t="s">
        <v>228</v>
      </c>
      <c r="H114">
        <v>60</v>
      </c>
      <c r="I114">
        <v>60</v>
      </c>
      <c r="J114">
        <v>60</v>
      </c>
      <c r="K114">
        <v>60</v>
      </c>
    </row>
    <row r="115" spans="1:11" x14ac:dyDescent="0.25">
      <c r="B115" t="s">
        <v>230</v>
      </c>
      <c r="C115">
        <v>8</v>
      </c>
      <c r="E115" s="2">
        <f>ROUNDDOWN(SUM($C$3:$C114)/8,0)</f>
        <v>183</v>
      </c>
      <c r="F115" s="2">
        <f>ROUNDUP((SUM($C$3:$C115)/8-1),0)</f>
        <v>183</v>
      </c>
      <c r="G115" t="s">
        <v>228</v>
      </c>
      <c r="H115">
        <v>20</v>
      </c>
      <c r="I115">
        <v>20</v>
      </c>
      <c r="J115">
        <v>20</v>
      </c>
      <c r="K115">
        <v>20</v>
      </c>
    </row>
    <row r="116" spans="1:11" x14ac:dyDescent="0.25">
      <c r="B116" t="s">
        <v>231</v>
      </c>
      <c r="C116">
        <v>8</v>
      </c>
      <c r="E116" s="2">
        <f>ROUNDDOWN(SUM($C$3:$C115)/8,0)</f>
        <v>184</v>
      </c>
      <c r="F116" s="2">
        <f>ROUNDUP((SUM($C$3:$C116)/8-1),0)</f>
        <v>184</v>
      </c>
      <c r="G116" t="s">
        <v>228</v>
      </c>
      <c r="H116">
        <v>10</v>
      </c>
      <c r="I116">
        <v>10</v>
      </c>
      <c r="J116">
        <v>10</v>
      </c>
      <c r="K116">
        <v>10</v>
      </c>
    </row>
    <row r="117" spans="1:11" x14ac:dyDescent="0.25">
      <c r="B117" t="s">
        <v>232</v>
      </c>
      <c r="C117">
        <v>8</v>
      </c>
      <c r="E117" s="2">
        <f>ROUNDDOWN(SUM($C$3:$C116)/8,0)</f>
        <v>185</v>
      </c>
      <c r="F117" s="2">
        <f>ROUNDUP((SUM($C$3:$C117)/8-1),0)</f>
        <v>185</v>
      </c>
      <c r="G117" t="s">
        <v>228</v>
      </c>
      <c r="H117">
        <v>10</v>
      </c>
      <c r="I117">
        <v>10</v>
      </c>
      <c r="J117">
        <v>10</v>
      </c>
      <c r="K117">
        <v>10</v>
      </c>
    </row>
    <row r="118" spans="1:11" x14ac:dyDescent="0.25">
      <c r="B118" t="s">
        <v>233</v>
      </c>
      <c r="C118">
        <v>8</v>
      </c>
      <c r="E118" s="2">
        <f>ROUNDDOWN(SUM($C$3:$C117)/8,0)</f>
        <v>186</v>
      </c>
      <c r="F118" s="2">
        <f>ROUNDUP((SUM($C$3:$C118)/8-1),0)</f>
        <v>186</v>
      </c>
      <c r="G118" t="s">
        <v>234</v>
      </c>
      <c r="H118">
        <v>70</v>
      </c>
      <c r="I118">
        <v>70</v>
      </c>
      <c r="J118">
        <v>70</v>
      </c>
      <c r="K118">
        <v>70</v>
      </c>
    </row>
    <row r="119" spans="1:11" x14ac:dyDescent="0.25">
      <c r="B119" t="s">
        <v>235</v>
      </c>
      <c r="C119">
        <v>8</v>
      </c>
      <c r="E119" s="2">
        <f>ROUNDDOWN(SUM($C$3:$C118)/8,0)</f>
        <v>187</v>
      </c>
      <c r="F119" s="2">
        <f>ROUNDUP((SUM($C$3:$C119)/8-1),0)</f>
        <v>187</v>
      </c>
      <c r="G119" t="s">
        <v>234</v>
      </c>
      <c r="H119">
        <v>100</v>
      </c>
      <c r="I119">
        <v>100</v>
      </c>
      <c r="J119">
        <v>100</v>
      </c>
      <c r="K119">
        <v>100</v>
      </c>
    </row>
    <row r="120" spans="1:11" x14ac:dyDescent="0.25">
      <c r="B120" t="s">
        <v>236</v>
      </c>
      <c r="C120">
        <v>8</v>
      </c>
      <c r="E120" s="2">
        <f>ROUNDDOWN(SUM($C$3:$C119)/8,0)</f>
        <v>188</v>
      </c>
      <c r="F120" s="2">
        <f>ROUNDUP((SUM($C$3:$C120)/8-1),0)</f>
        <v>188</v>
      </c>
      <c r="G120" t="s">
        <v>234</v>
      </c>
      <c r="H120">
        <v>130</v>
      </c>
      <c r="I120">
        <v>130</v>
      </c>
      <c r="J120">
        <v>130</v>
      </c>
      <c r="K120">
        <v>130</v>
      </c>
    </row>
    <row r="121" spans="1:11" x14ac:dyDescent="0.25">
      <c r="B121" t="s">
        <v>237</v>
      </c>
      <c r="C121">
        <v>8</v>
      </c>
      <c r="E121" s="2">
        <f>ROUNDDOWN(SUM($C$3:$C120)/8,0)</f>
        <v>189</v>
      </c>
      <c r="F121" s="2">
        <f>ROUNDUP((SUM($C$3:$C121)/8-1),0)</f>
        <v>189</v>
      </c>
      <c r="G121" t="s">
        <v>234</v>
      </c>
      <c r="H121">
        <v>145</v>
      </c>
      <c r="I121">
        <v>145</v>
      </c>
      <c r="J121">
        <v>145</v>
      </c>
      <c r="K121">
        <v>145</v>
      </c>
    </row>
    <row r="122" spans="1:11" x14ac:dyDescent="0.25">
      <c r="B122" t="s">
        <v>238</v>
      </c>
      <c r="C122">
        <v>8</v>
      </c>
      <c r="E122" s="2">
        <f>ROUNDDOWN(SUM($C$3:$C121)/8,0)</f>
        <v>190</v>
      </c>
      <c r="F122" s="2">
        <f>ROUNDUP((SUM($C$3:$C122)/8-1),0)</f>
        <v>190</v>
      </c>
      <c r="G122" t="s">
        <v>234</v>
      </c>
      <c r="H122">
        <v>200</v>
      </c>
      <c r="I122">
        <v>200</v>
      </c>
      <c r="J122">
        <v>200</v>
      </c>
      <c r="K122">
        <v>200</v>
      </c>
    </row>
    <row r="123" spans="1:11" x14ac:dyDescent="0.25">
      <c r="B123" t="s">
        <v>239</v>
      </c>
      <c r="C123">
        <v>8</v>
      </c>
      <c r="D123" t="s">
        <v>240</v>
      </c>
      <c r="E123" s="2">
        <f>ROUNDDOWN(SUM($C$3:$C122)/8,0)</f>
        <v>191</v>
      </c>
      <c r="F123" s="2">
        <f>ROUNDUP((SUM($C$3:$C123)/8-1),0)</f>
        <v>191</v>
      </c>
      <c r="G123" t="s">
        <v>241</v>
      </c>
      <c r="H123">
        <v>6</v>
      </c>
      <c r="I123">
        <v>6</v>
      </c>
      <c r="J123">
        <v>6</v>
      </c>
      <c r="K123">
        <v>6</v>
      </c>
    </row>
    <row r="124" spans="1:11" x14ac:dyDescent="0.25">
      <c r="B124" t="s">
        <v>242</v>
      </c>
      <c r="C124">
        <v>8</v>
      </c>
      <c r="D124" t="s">
        <v>243</v>
      </c>
      <c r="E124" s="2">
        <f>ROUNDDOWN(SUM($C$3:$C123)/8,0)</f>
        <v>192</v>
      </c>
      <c r="F124" s="2">
        <f>ROUNDUP((SUM($C$3:$C124)/8-1),0)</f>
        <v>192</v>
      </c>
      <c r="G124" t="s">
        <v>244</v>
      </c>
      <c r="H124">
        <v>40</v>
      </c>
      <c r="I124">
        <v>40</v>
      </c>
      <c r="J124">
        <v>40</v>
      </c>
      <c r="K124">
        <v>40</v>
      </c>
    </row>
    <row r="125" spans="1:11" x14ac:dyDescent="0.25">
      <c r="B125" t="s">
        <v>161</v>
      </c>
      <c r="C125">
        <v>8</v>
      </c>
      <c r="D125" t="s">
        <v>161</v>
      </c>
      <c r="E125" s="2">
        <f>ROUNDDOWN(SUM($C$3:$C124)/8,0)</f>
        <v>193</v>
      </c>
      <c r="F125" s="2">
        <f>ROUNDUP((SUM($C$3:$C125)/8-1),0)</f>
        <v>193</v>
      </c>
      <c r="H125">
        <v>255</v>
      </c>
      <c r="I125">
        <v>255</v>
      </c>
      <c r="J125">
        <v>255</v>
      </c>
      <c r="K125">
        <v>255</v>
      </c>
    </row>
    <row r="126" spans="1:11" x14ac:dyDescent="0.25">
      <c r="A126" t="s">
        <v>245</v>
      </c>
      <c r="B126" t="s">
        <v>246</v>
      </c>
      <c r="C126">
        <v>16</v>
      </c>
      <c r="D126" t="s">
        <v>247</v>
      </c>
      <c r="E126" s="2">
        <f>ROUNDDOWN(SUM($C$3:$C125)/8,0)</f>
        <v>194</v>
      </c>
      <c r="F126" s="2">
        <f>ROUNDUP((SUM($C$3:$C126)/8-1),0)</f>
        <v>195</v>
      </c>
      <c r="H126">
        <v>65535</v>
      </c>
      <c r="I126">
        <v>65535</v>
      </c>
      <c r="J126">
        <v>65535</v>
      </c>
      <c r="K126">
        <v>65535</v>
      </c>
    </row>
    <row r="127" spans="1:11" x14ac:dyDescent="0.25">
      <c r="B127" t="s">
        <v>248</v>
      </c>
      <c r="C127">
        <v>16</v>
      </c>
      <c r="D127" t="s">
        <v>249</v>
      </c>
      <c r="E127" s="2">
        <f>ROUNDDOWN(SUM($C$3:$C126)/8,0)</f>
        <v>196</v>
      </c>
      <c r="F127" s="2">
        <f>ROUNDUP((SUM($C$3:$C127)/8-1),0)</f>
        <v>197</v>
      </c>
      <c r="H127">
        <v>65535</v>
      </c>
      <c r="I127">
        <v>65535</v>
      </c>
      <c r="J127">
        <v>65535</v>
      </c>
      <c r="K127">
        <v>65535</v>
      </c>
    </row>
    <row r="128" spans="1:11" x14ac:dyDescent="0.25">
      <c r="B128" t="s">
        <v>250</v>
      </c>
      <c r="C128">
        <v>16</v>
      </c>
      <c r="D128" t="s">
        <v>251</v>
      </c>
      <c r="E128" s="2">
        <f>ROUNDDOWN(SUM($C$3:$C127)/8,0)</f>
        <v>198</v>
      </c>
      <c r="F128" s="2">
        <f>ROUNDUP((SUM($C$3:$C128)/8-1),0)</f>
        <v>199</v>
      </c>
      <c r="G128" t="s">
        <v>252</v>
      </c>
      <c r="H128">
        <v>5</v>
      </c>
      <c r="I128">
        <v>5</v>
      </c>
      <c r="J128">
        <v>5</v>
      </c>
      <c r="K128">
        <v>5</v>
      </c>
    </row>
    <row r="129" spans="2:11" x14ac:dyDescent="0.25">
      <c r="B129" t="s">
        <v>253</v>
      </c>
      <c r="C129">
        <v>16</v>
      </c>
      <c r="D129" t="s">
        <v>254</v>
      </c>
      <c r="E129" s="2">
        <f>ROUNDDOWN(SUM($C$3:$C128)/8,0)</f>
        <v>200</v>
      </c>
      <c r="F129" s="2">
        <f>ROUNDUP((SUM($C$3:$C129)/8-1),0)</f>
        <v>201</v>
      </c>
      <c r="G129" t="s">
        <v>252</v>
      </c>
      <c r="H129">
        <v>136</v>
      </c>
      <c r="I129">
        <v>136</v>
      </c>
      <c r="J129">
        <v>136</v>
      </c>
      <c r="K129">
        <v>136</v>
      </c>
    </row>
    <row r="130" spans="2:11" x14ac:dyDescent="0.25">
      <c r="B130" t="s">
        <v>255</v>
      </c>
      <c r="C130">
        <v>16</v>
      </c>
      <c r="D130" t="s">
        <v>256</v>
      </c>
      <c r="E130" s="2">
        <f>ROUNDDOWN(SUM($C$3:$C129)/8,0)</f>
        <v>202</v>
      </c>
      <c r="F130" s="2">
        <f>ROUNDUP((SUM($C$3:$C130)/8-1),0)</f>
        <v>203</v>
      </c>
      <c r="G130" t="s">
        <v>252</v>
      </c>
      <c r="H130">
        <v>151</v>
      </c>
      <c r="I130">
        <v>151</v>
      </c>
      <c r="J130">
        <v>151</v>
      </c>
      <c r="K130">
        <v>151</v>
      </c>
    </row>
    <row r="131" spans="2:11" x14ac:dyDescent="0.25">
      <c r="B131" t="s">
        <v>257</v>
      </c>
      <c r="C131">
        <v>16</v>
      </c>
      <c r="D131" t="s">
        <v>258</v>
      </c>
      <c r="E131" s="2">
        <f>ROUNDDOWN(SUM($C$3:$C130)/8,0)</f>
        <v>204</v>
      </c>
      <c r="F131" s="2">
        <f>ROUNDUP((SUM($C$3:$C131)/8-1),0)</f>
        <v>205</v>
      </c>
      <c r="G131" t="s">
        <v>252</v>
      </c>
      <c r="H131">
        <v>281</v>
      </c>
      <c r="I131">
        <v>281</v>
      </c>
      <c r="J131">
        <v>281</v>
      </c>
      <c r="K131">
        <v>281</v>
      </c>
    </row>
    <row r="132" spans="2:11" x14ac:dyDescent="0.25">
      <c r="B132" t="s">
        <v>259</v>
      </c>
      <c r="C132">
        <v>8</v>
      </c>
      <c r="D132" t="s">
        <v>260</v>
      </c>
      <c r="E132" s="2">
        <f>ROUNDDOWN(SUM($C$3:$C131)/8,0)</f>
        <v>206</v>
      </c>
      <c r="F132" s="2">
        <f>ROUNDUP((SUM($C$3:$C132)/8-1),0)</f>
        <v>206</v>
      </c>
      <c r="G132" t="s">
        <v>261</v>
      </c>
      <c r="H132">
        <v>60</v>
      </c>
      <c r="I132">
        <v>60</v>
      </c>
      <c r="J132">
        <v>60</v>
      </c>
      <c r="K132">
        <v>60</v>
      </c>
    </row>
    <row r="133" spans="2:11" x14ac:dyDescent="0.25">
      <c r="B133" t="s">
        <v>267</v>
      </c>
      <c r="C133">
        <v>8</v>
      </c>
      <c r="D133" t="s">
        <v>268</v>
      </c>
      <c r="E133" s="2">
        <f>ROUNDDOWN(SUM($C$3:$C132)/8,0)</f>
        <v>207</v>
      </c>
      <c r="F133" s="2">
        <f>ROUNDUP((SUM($C$3:$C133)/8-1),0)</f>
        <v>207</v>
      </c>
      <c r="G133" t="s">
        <v>264</v>
      </c>
      <c r="H133">
        <v>100</v>
      </c>
      <c r="I133">
        <v>100</v>
      </c>
      <c r="J133">
        <v>100</v>
      </c>
      <c r="K133">
        <v>100</v>
      </c>
    </row>
    <row r="134" spans="2:11" x14ac:dyDescent="0.25">
      <c r="B134" t="s">
        <v>265</v>
      </c>
      <c r="C134">
        <v>8</v>
      </c>
      <c r="D134" t="s">
        <v>266</v>
      </c>
      <c r="E134" s="2">
        <f>ROUNDDOWN(SUM($C$3:$C133)/8,0)</f>
        <v>208</v>
      </c>
      <c r="F134" s="2">
        <f>ROUNDUP((SUM($C$3:$C134)/8-1),0)</f>
        <v>208</v>
      </c>
      <c r="G134" t="s">
        <v>264</v>
      </c>
      <c r="H134">
        <v>55</v>
      </c>
      <c r="I134">
        <v>55</v>
      </c>
      <c r="J134">
        <v>55</v>
      </c>
      <c r="K134">
        <v>55</v>
      </c>
    </row>
    <row r="135" spans="2:11" x14ac:dyDescent="0.25">
      <c r="B135" t="s">
        <v>262</v>
      </c>
      <c r="C135">
        <v>8</v>
      </c>
      <c r="D135" t="s">
        <v>263</v>
      </c>
      <c r="E135" s="2">
        <f>ROUNDDOWN(SUM($C$3:$C134)/8,0)</f>
        <v>209</v>
      </c>
      <c r="F135" s="2">
        <f>ROUNDUP((SUM($C$3:$C135)/8-1),0)</f>
        <v>209</v>
      </c>
      <c r="G135" t="s">
        <v>264</v>
      </c>
      <c r="H135">
        <v>48</v>
      </c>
      <c r="I135">
        <v>48</v>
      </c>
      <c r="J135">
        <v>48</v>
      </c>
      <c r="K135">
        <v>48</v>
      </c>
    </row>
    <row r="136" spans="2:11" x14ac:dyDescent="0.25">
      <c r="B136" t="s">
        <v>269</v>
      </c>
      <c r="C136">
        <v>4</v>
      </c>
      <c r="D136" t="s">
        <v>270</v>
      </c>
      <c r="E136" s="2">
        <f>ROUNDDOWN(SUM($C$3:$C135)/8,0)</f>
        <v>210</v>
      </c>
      <c r="F136" s="2">
        <f>ROUNDUP((SUM($C$3:$C136)/8-1),0)</f>
        <v>210</v>
      </c>
      <c r="H136" s="5">
        <v>5</v>
      </c>
      <c r="I136" s="5">
        <v>5</v>
      </c>
      <c r="J136" s="5">
        <v>5</v>
      </c>
      <c r="K136" s="5">
        <v>5</v>
      </c>
    </row>
    <row r="137" spans="2:11" x14ac:dyDescent="0.25">
      <c r="B137" t="s">
        <v>271</v>
      </c>
      <c r="C137">
        <v>4</v>
      </c>
      <c r="D137" t="s">
        <v>272</v>
      </c>
      <c r="E137" s="2">
        <f>ROUNDDOWN(SUM($C$3:$C136)/8,0)</f>
        <v>210</v>
      </c>
      <c r="F137" s="2">
        <f>ROUNDUP((SUM($C$3:$C137)/8-1),0)</f>
        <v>210</v>
      </c>
      <c r="H137" s="5">
        <v>3</v>
      </c>
      <c r="I137" s="5">
        <v>3</v>
      </c>
      <c r="J137" s="5">
        <v>3</v>
      </c>
      <c r="K137" s="5">
        <v>3</v>
      </c>
    </row>
    <row r="138" spans="2:11" x14ac:dyDescent="0.25">
      <c r="B138" t="s">
        <v>273</v>
      </c>
      <c r="C138">
        <v>4</v>
      </c>
      <c r="D138" t="s">
        <v>274</v>
      </c>
      <c r="E138" s="2">
        <f>ROUNDDOWN(SUM($C$3:$C137)/8,0)</f>
        <v>211</v>
      </c>
      <c r="F138" s="2">
        <f>ROUNDUP((SUM($C$3:$C138)/8-1),0)</f>
        <v>211</v>
      </c>
      <c r="H138" s="5">
        <v>3</v>
      </c>
      <c r="I138" s="5">
        <v>3</v>
      </c>
      <c r="J138" s="5">
        <v>3</v>
      </c>
      <c r="K138" s="5">
        <v>3</v>
      </c>
    </row>
    <row r="139" spans="2:11" x14ac:dyDescent="0.25">
      <c r="B139" t="s">
        <v>275</v>
      </c>
      <c r="C139">
        <v>4</v>
      </c>
      <c r="D139" t="s">
        <v>276</v>
      </c>
      <c r="E139" s="2">
        <f>ROUNDDOWN(SUM($C$3:$C138)/8,0)</f>
        <v>211</v>
      </c>
      <c r="F139" s="2">
        <f>ROUNDUP((SUM($C$3:$C139)/8-1),0)</f>
        <v>211</v>
      </c>
      <c r="H139" s="5">
        <v>3</v>
      </c>
      <c r="I139" s="5">
        <v>3</v>
      </c>
      <c r="J139" s="5">
        <v>3</v>
      </c>
      <c r="K139" s="5">
        <v>3</v>
      </c>
    </row>
    <row r="140" spans="2:11" x14ac:dyDescent="0.25">
      <c r="B140" t="s">
        <v>277</v>
      </c>
      <c r="C140">
        <v>4</v>
      </c>
      <c r="D140" t="s">
        <v>278</v>
      </c>
      <c r="E140" s="2">
        <f>ROUNDDOWN(SUM($C$3:$C139)/8,0)</f>
        <v>212</v>
      </c>
      <c r="F140" s="2">
        <f>ROUNDUP((SUM($C$3:$C140)/8-1),0)</f>
        <v>212</v>
      </c>
      <c r="H140" s="5">
        <v>3</v>
      </c>
      <c r="I140" s="5">
        <v>3</v>
      </c>
      <c r="J140" s="5">
        <v>3</v>
      </c>
      <c r="K140" s="5">
        <v>3</v>
      </c>
    </row>
    <row r="141" spans="2:11" x14ac:dyDescent="0.25">
      <c r="B141" t="s">
        <v>279</v>
      </c>
      <c r="C141">
        <v>4</v>
      </c>
      <c r="D141" t="s">
        <v>280</v>
      </c>
      <c r="E141" s="2">
        <f>ROUNDDOWN(SUM($C$3:$C140)/8,0)</f>
        <v>212</v>
      </c>
      <c r="F141" s="2">
        <f>ROUNDUP((SUM($C$3:$C141)/8-1),0)</f>
        <v>212</v>
      </c>
      <c r="H141">
        <v>10</v>
      </c>
      <c r="I141">
        <v>10</v>
      </c>
      <c r="J141">
        <v>10</v>
      </c>
      <c r="K141">
        <v>10</v>
      </c>
    </row>
    <row r="142" spans="2:11" x14ac:dyDescent="0.25">
      <c r="B142" t="s">
        <v>281</v>
      </c>
      <c r="C142">
        <v>4</v>
      </c>
      <c r="D142" t="s">
        <v>282</v>
      </c>
      <c r="E142" s="2">
        <f>ROUNDDOWN(SUM($C$3:$C141)/8,0)</f>
        <v>213</v>
      </c>
      <c r="F142" s="2">
        <f>ROUNDUP((SUM($C$3:$C142)/8-1),0)</f>
        <v>213</v>
      </c>
      <c r="H142">
        <v>10</v>
      </c>
      <c r="I142">
        <v>10</v>
      </c>
      <c r="J142">
        <v>10</v>
      </c>
      <c r="K142">
        <v>10</v>
      </c>
    </row>
    <row r="143" spans="2:11" x14ac:dyDescent="0.25">
      <c r="B143" t="s">
        <v>283</v>
      </c>
      <c r="C143">
        <v>4</v>
      </c>
      <c r="D143" t="s">
        <v>284</v>
      </c>
      <c r="E143" s="2">
        <f>ROUNDDOWN(SUM($C$3:$C142)/8,0)</f>
        <v>213</v>
      </c>
      <c r="F143" s="2">
        <f>ROUNDUP((SUM($C$3:$C143)/8-1),0)</f>
        <v>213</v>
      </c>
      <c r="H143">
        <v>10</v>
      </c>
      <c r="I143">
        <v>10</v>
      </c>
      <c r="J143">
        <v>10</v>
      </c>
      <c r="K143">
        <v>10</v>
      </c>
    </row>
    <row r="144" spans="2:11" x14ac:dyDescent="0.25">
      <c r="B144" t="s">
        <v>285</v>
      </c>
      <c r="C144">
        <v>4</v>
      </c>
      <c r="D144" t="s">
        <v>286</v>
      </c>
      <c r="E144" s="2">
        <f>ROUNDDOWN(SUM($C$3:$C143)/8,0)</f>
        <v>214</v>
      </c>
      <c r="F144" s="2">
        <f>ROUNDUP((SUM($C$3:$C144)/8-1),0)</f>
        <v>214</v>
      </c>
      <c r="H144">
        <v>10</v>
      </c>
      <c r="I144">
        <v>10</v>
      </c>
      <c r="J144">
        <v>10</v>
      </c>
      <c r="K144">
        <v>10</v>
      </c>
    </row>
    <row r="145" spans="2:11" x14ac:dyDescent="0.25">
      <c r="B145" t="s">
        <v>287</v>
      </c>
      <c r="C145">
        <v>4</v>
      </c>
      <c r="D145" t="s">
        <v>288</v>
      </c>
      <c r="E145" s="2">
        <f>ROUNDDOWN(SUM($C$3:$C144)/8,0)</f>
        <v>214</v>
      </c>
      <c r="F145" s="2">
        <f>ROUNDUP((SUM($C$3:$C145)/8-1),0)</f>
        <v>214</v>
      </c>
      <c r="H145">
        <v>10</v>
      </c>
      <c r="I145">
        <v>10</v>
      </c>
      <c r="J145">
        <v>10</v>
      </c>
      <c r="K145">
        <v>10</v>
      </c>
    </row>
    <row r="146" spans="2:11" x14ac:dyDescent="0.25">
      <c r="B146" t="s">
        <v>289</v>
      </c>
      <c r="C146">
        <v>8</v>
      </c>
      <c r="D146" t="s">
        <v>290</v>
      </c>
      <c r="E146" s="2">
        <f>ROUNDDOWN(SUM($C$3:$C145)/8,0)</f>
        <v>215</v>
      </c>
      <c r="F146" s="2">
        <f>ROUNDUP((SUM($C$3:$C146)/8-1),0)</f>
        <v>215</v>
      </c>
      <c r="G146" t="s">
        <v>291</v>
      </c>
      <c r="H146">
        <v>85</v>
      </c>
      <c r="I146">
        <v>85</v>
      </c>
      <c r="J146">
        <v>85</v>
      </c>
      <c r="K146">
        <v>85</v>
      </c>
    </row>
    <row r="147" spans="2:11" x14ac:dyDescent="0.25">
      <c r="B147" t="s">
        <v>292</v>
      </c>
      <c r="C147">
        <v>8</v>
      </c>
      <c r="D147" t="s">
        <v>293</v>
      </c>
      <c r="E147" s="2">
        <f>ROUNDDOWN(SUM($C$3:$C146)/8,0)</f>
        <v>216</v>
      </c>
      <c r="F147" s="2">
        <f>ROUNDUP((SUM($C$3:$C147)/8-1),0)</f>
        <v>216</v>
      </c>
      <c r="G147" t="s">
        <v>291</v>
      </c>
      <c r="H147">
        <v>73</v>
      </c>
      <c r="I147">
        <v>73</v>
      </c>
      <c r="J147">
        <v>73</v>
      </c>
      <c r="K147">
        <v>73</v>
      </c>
    </row>
    <row r="148" spans="2:11" x14ac:dyDescent="0.25">
      <c r="B148" t="s">
        <v>294</v>
      </c>
      <c r="C148">
        <v>8</v>
      </c>
      <c r="D148" t="s">
        <v>295</v>
      </c>
      <c r="E148" s="2">
        <f>ROUNDDOWN(SUM($C$3:$C147)/8,0)</f>
        <v>217</v>
      </c>
      <c r="F148" s="2">
        <f>ROUNDUP((SUM($C$3:$C148)/8-1),0)</f>
        <v>217</v>
      </c>
      <c r="G148" t="s">
        <v>291</v>
      </c>
      <c r="H148">
        <v>85</v>
      </c>
      <c r="I148">
        <v>85</v>
      </c>
      <c r="J148">
        <v>85</v>
      </c>
      <c r="K148">
        <v>85</v>
      </c>
    </row>
    <row r="149" spans="2:11" x14ac:dyDescent="0.25">
      <c r="B149" t="s">
        <v>296</v>
      </c>
      <c r="C149">
        <v>8</v>
      </c>
      <c r="D149" t="s">
        <v>297</v>
      </c>
      <c r="E149" s="2">
        <f>ROUNDDOWN(SUM($C$3:$C148)/8,0)</f>
        <v>218</v>
      </c>
      <c r="F149" s="2">
        <f>ROUNDUP((SUM($C$3:$C149)/8-1),0)</f>
        <v>218</v>
      </c>
      <c r="G149" t="s">
        <v>291</v>
      </c>
      <c r="H149">
        <v>73</v>
      </c>
      <c r="I149">
        <v>73</v>
      </c>
      <c r="J149">
        <v>73</v>
      </c>
      <c r="K149">
        <v>73</v>
      </c>
    </row>
    <row r="150" spans="2:11" x14ac:dyDescent="0.25">
      <c r="B150" t="s">
        <v>298</v>
      </c>
      <c r="C150">
        <v>8</v>
      </c>
      <c r="D150" t="s">
        <v>299</v>
      </c>
      <c r="E150" s="2">
        <f>ROUNDDOWN(SUM($C$3:$C149)/8,0)</f>
        <v>219</v>
      </c>
      <c r="F150" s="2">
        <f>ROUNDUP((SUM($C$3:$C150)/8-1),0)</f>
        <v>219</v>
      </c>
      <c r="G150" t="s">
        <v>291</v>
      </c>
      <c r="H150">
        <v>56</v>
      </c>
      <c r="I150">
        <v>56</v>
      </c>
      <c r="J150">
        <v>56</v>
      </c>
      <c r="K150">
        <v>56</v>
      </c>
    </row>
    <row r="151" spans="2:11" x14ac:dyDescent="0.25">
      <c r="B151" t="s">
        <v>300</v>
      </c>
      <c r="C151">
        <v>8</v>
      </c>
      <c r="D151" t="s">
        <v>301</v>
      </c>
      <c r="E151" s="2">
        <f>ROUNDDOWN(SUM($C$3:$C150)/8,0)</f>
        <v>220</v>
      </c>
      <c r="F151" s="2">
        <f>ROUNDUP((SUM($C$3:$C151)/8-1),0)</f>
        <v>220</v>
      </c>
      <c r="G151" t="s">
        <v>291</v>
      </c>
      <c r="H151">
        <v>73</v>
      </c>
      <c r="I151">
        <v>73</v>
      </c>
      <c r="J151">
        <v>73</v>
      </c>
      <c r="K151">
        <v>73</v>
      </c>
    </row>
    <row r="152" spans="2:11" x14ac:dyDescent="0.25">
      <c r="B152" t="s">
        <v>302</v>
      </c>
      <c r="C152">
        <v>8</v>
      </c>
      <c r="D152" t="s">
        <v>303</v>
      </c>
      <c r="E152" s="2">
        <f>ROUNDDOWN(SUM($C$3:$C151)/8,0)</f>
        <v>221</v>
      </c>
      <c r="F152" s="2">
        <f>ROUNDUP((SUM($C$3:$C152)/8-1),0)</f>
        <v>221</v>
      </c>
      <c r="G152" t="s">
        <v>291</v>
      </c>
      <c r="H152">
        <v>82</v>
      </c>
      <c r="I152">
        <v>82</v>
      </c>
      <c r="J152">
        <v>82</v>
      </c>
      <c r="K152">
        <v>82</v>
      </c>
    </row>
    <row r="153" spans="2:11" x14ac:dyDescent="0.25">
      <c r="B153" t="s">
        <v>304</v>
      </c>
      <c r="C153">
        <v>8</v>
      </c>
      <c r="D153" t="s">
        <v>305</v>
      </c>
      <c r="E153" s="2">
        <f>ROUNDDOWN(SUM($C$3:$C152)/8,0)</f>
        <v>222</v>
      </c>
      <c r="F153" s="2">
        <f>ROUNDUP((SUM($C$3:$C153)/8-1),0)</f>
        <v>222</v>
      </c>
      <c r="G153" t="s">
        <v>291</v>
      </c>
      <c r="H153">
        <v>85</v>
      </c>
      <c r="I153">
        <v>85</v>
      </c>
      <c r="J153">
        <v>85</v>
      </c>
      <c r="K153">
        <v>85</v>
      </c>
    </row>
    <row r="154" spans="2:11" x14ac:dyDescent="0.25">
      <c r="B154" t="s">
        <v>306</v>
      </c>
      <c r="C154">
        <v>8</v>
      </c>
      <c r="D154" t="s">
        <v>307</v>
      </c>
      <c r="E154" s="2">
        <f>ROUNDDOWN(SUM($C$3:$C153)/8,0)</f>
        <v>223</v>
      </c>
      <c r="F154" s="2">
        <f>ROUNDUP((SUM($C$3:$C154)/8-1),0)</f>
        <v>223</v>
      </c>
      <c r="G154" t="s">
        <v>291</v>
      </c>
      <c r="H154">
        <v>82</v>
      </c>
      <c r="I154">
        <v>82</v>
      </c>
      <c r="J154">
        <v>82</v>
      </c>
      <c r="K154">
        <v>82</v>
      </c>
    </row>
    <row r="155" spans="2:11" x14ac:dyDescent="0.25">
      <c r="B155" t="s">
        <v>308</v>
      </c>
      <c r="C155">
        <v>8</v>
      </c>
      <c r="D155" t="s">
        <v>309</v>
      </c>
      <c r="E155" s="2">
        <f>ROUNDDOWN(SUM($C$3:$C154)/8,0)</f>
        <v>224</v>
      </c>
      <c r="F155" s="2">
        <f>ROUNDUP((SUM($C$3:$C155)/8-1),0)</f>
        <v>224</v>
      </c>
      <c r="G155" t="s">
        <v>291</v>
      </c>
      <c r="H155">
        <v>73</v>
      </c>
      <c r="I155">
        <v>73</v>
      </c>
      <c r="J155">
        <v>73</v>
      </c>
      <c r="K155">
        <v>73</v>
      </c>
    </row>
    <row r="156" spans="2:11" x14ac:dyDescent="0.25">
      <c r="B156" t="s">
        <v>310</v>
      </c>
      <c r="C156">
        <v>8</v>
      </c>
      <c r="D156" t="s">
        <v>311</v>
      </c>
      <c r="E156" s="2">
        <f>ROUNDDOWN(SUM($C$3:$C155)/8,0)</f>
        <v>225</v>
      </c>
      <c r="F156" s="2">
        <f>ROUNDUP((SUM($C$3:$C156)/8-1),0)</f>
        <v>225</v>
      </c>
      <c r="G156" t="s">
        <v>291</v>
      </c>
      <c r="H156">
        <v>56</v>
      </c>
      <c r="I156">
        <v>56</v>
      </c>
      <c r="J156">
        <v>56</v>
      </c>
      <c r="K156">
        <v>56</v>
      </c>
    </row>
    <row r="157" spans="2:11" x14ac:dyDescent="0.25">
      <c r="B157" t="s">
        <v>312</v>
      </c>
      <c r="C157">
        <v>4</v>
      </c>
      <c r="D157" t="s">
        <v>313</v>
      </c>
      <c r="E157" s="2">
        <f>ROUNDDOWN(SUM($C$3:$C156)/8,0)</f>
        <v>226</v>
      </c>
      <c r="F157" s="2">
        <f>ROUNDUP((SUM($C$3:$C157)/8-1),0)</f>
        <v>226</v>
      </c>
      <c r="G157" t="s">
        <v>291</v>
      </c>
      <c r="H157">
        <v>5</v>
      </c>
      <c r="I157">
        <v>5</v>
      </c>
      <c r="J157">
        <v>5</v>
      </c>
      <c r="K157">
        <v>5</v>
      </c>
    </row>
    <row r="158" spans="2:11" x14ac:dyDescent="0.25">
      <c r="B158" t="s">
        <v>314</v>
      </c>
      <c r="C158">
        <v>4</v>
      </c>
      <c r="D158" t="s">
        <v>315</v>
      </c>
      <c r="E158" s="2">
        <f>ROUNDDOWN(SUM($C$3:$C157)/8,0)</f>
        <v>226</v>
      </c>
      <c r="F158" s="2">
        <f>ROUNDUP((SUM($C$3:$C158)/8-1),0)</f>
        <v>226</v>
      </c>
      <c r="G158" t="s">
        <v>291</v>
      </c>
      <c r="H158">
        <v>5</v>
      </c>
      <c r="I158">
        <v>5</v>
      </c>
      <c r="J158">
        <v>5</v>
      </c>
      <c r="K158">
        <v>5</v>
      </c>
    </row>
    <row r="159" spans="2:11" x14ac:dyDescent="0.25">
      <c r="B159" t="s">
        <v>316</v>
      </c>
      <c r="C159">
        <v>4</v>
      </c>
      <c r="D159" t="s">
        <v>317</v>
      </c>
      <c r="E159" s="2">
        <f>ROUNDDOWN(SUM($C$3:$C158)/8,0)</f>
        <v>227</v>
      </c>
      <c r="F159" s="2">
        <f>ROUNDUP((SUM($C$3:$C159)/8-1),0)</f>
        <v>227</v>
      </c>
      <c r="G159" t="s">
        <v>291</v>
      </c>
      <c r="H159">
        <v>5</v>
      </c>
      <c r="I159">
        <v>5</v>
      </c>
      <c r="J159">
        <v>5</v>
      </c>
      <c r="K159">
        <v>5</v>
      </c>
    </row>
    <row r="160" spans="2:11" x14ac:dyDescent="0.25">
      <c r="B160" t="s">
        <v>318</v>
      </c>
      <c r="C160">
        <v>4</v>
      </c>
      <c r="D160" t="s">
        <v>319</v>
      </c>
      <c r="E160" s="2">
        <f>ROUNDDOWN(SUM($C$3:$C159)/8,0)</f>
        <v>227</v>
      </c>
      <c r="F160" s="2">
        <f>ROUNDUP((SUM($C$3:$C160)/8-1),0)</f>
        <v>227</v>
      </c>
      <c r="G160" t="s">
        <v>291</v>
      </c>
      <c r="H160">
        <v>3</v>
      </c>
      <c r="I160">
        <v>3</v>
      </c>
      <c r="J160">
        <v>3</v>
      </c>
      <c r="K160">
        <v>3</v>
      </c>
    </row>
    <row r="161" spans="2:11" x14ac:dyDescent="0.25">
      <c r="B161" t="s">
        <v>320</v>
      </c>
      <c r="C161">
        <v>4</v>
      </c>
      <c r="D161" t="s">
        <v>321</v>
      </c>
      <c r="E161" s="2">
        <f>ROUNDDOWN(SUM($C$3:$C160)/8,0)</f>
        <v>228</v>
      </c>
      <c r="F161" s="2">
        <f>ROUNDUP((SUM($C$3:$C161)/8-1),0)</f>
        <v>228</v>
      </c>
      <c r="G161" t="s">
        <v>291</v>
      </c>
      <c r="H161">
        <v>3</v>
      </c>
      <c r="I161">
        <v>3</v>
      </c>
      <c r="J161">
        <v>3</v>
      </c>
      <c r="K161">
        <v>3</v>
      </c>
    </row>
    <row r="162" spans="2:11" x14ac:dyDescent="0.25">
      <c r="B162" t="s">
        <v>322</v>
      </c>
      <c r="C162">
        <v>4</v>
      </c>
      <c r="D162" t="s">
        <v>323</v>
      </c>
      <c r="E162" s="2">
        <f>ROUNDDOWN(SUM($C$3:$C161)/8,0)</f>
        <v>228</v>
      </c>
      <c r="F162" s="2">
        <f>ROUNDUP((SUM($C$3:$C162)/8-1),0)</f>
        <v>228</v>
      </c>
      <c r="G162" t="s">
        <v>264</v>
      </c>
      <c r="H162">
        <v>9</v>
      </c>
      <c r="I162">
        <v>9</v>
      </c>
      <c r="J162">
        <v>9</v>
      </c>
      <c r="K162">
        <v>9</v>
      </c>
    </row>
    <row r="163" spans="2:11" x14ac:dyDescent="0.25">
      <c r="B163" t="s">
        <v>324</v>
      </c>
      <c r="C163">
        <v>4</v>
      </c>
      <c r="D163" t="s">
        <v>325</v>
      </c>
      <c r="E163" s="2">
        <f>ROUNDDOWN(SUM($C$3:$C162)/8,0)</f>
        <v>229</v>
      </c>
      <c r="F163" s="2">
        <f>ROUNDUP((SUM($C$3:$C163)/8-1),0)</f>
        <v>229</v>
      </c>
      <c r="G163" t="s">
        <v>264</v>
      </c>
      <c r="H163">
        <v>9</v>
      </c>
      <c r="I163">
        <v>9</v>
      </c>
      <c r="J163">
        <v>9</v>
      </c>
      <c r="K163">
        <v>9</v>
      </c>
    </row>
    <row r="164" spans="2:11" x14ac:dyDescent="0.25">
      <c r="B164" t="s">
        <v>326</v>
      </c>
      <c r="C164">
        <v>4</v>
      </c>
      <c r="D164" t="s">
        <v>327</v>
      </c>
      <c r="E164" s="2">
        <f>ROUNDDOWN(SUM($C$3:$C163)/8,0)</f>
        <v>229</v>
      </c>
      <c r="F164" s="2">
        <f>ROUNDUP((SUM($C$3:$C164)/8-1),0)</f>
        <v>229</v>
      </c>
      <c r="G164" t="s">
        <v>264</v>
      </c>
      <c r="H164">
        <v>9</v>
      </c>
      <c r="I164">
        <v>9</v>
      </c>
      <c r="J164">
        <v>9</v>
      </c>
      <c r="K164">
        <v>9</v>
      </c>
    </row>
    <row r="165" spans="2:11" x14ac:dyDescent="0.25">
      <c r="B165" t="s">
        <v>328</v>
      </c>
      <c r="C165">
        <v>4</v>
      </c>
      <c r="D165" t="s">
        <v>329</v>
      </c>
      <c r="E165" s="2">
        <f>ROUNDDOWN(SUM($C$3:$C164)/8,0)</f>
        <v>230</v>
      </c>
      <c r="F165" s="2">
        <f>ROUNDUP((SUM($C$3:$C165)/8-1),0)</f>
        <v>230</v>
      </c>
      <c r="G165" t="s">
        <v>264</v>
      </c>
      <c r="H165">
        <v>7</v>
      </c>
      <c r="I165">
        <v>7</v>
      </c>
      <c r="J165">
        <v>7</v>
      </c>
      <c r="K165">
        <v>7</v>
      </c>
    </row>
    <row r="166" spans="2:11" x14ac:dyDescent="0.25">
      <c r="B166" t="s">
        <v>330</v>
      </c>
      <c r="C166">
        <v>4</v>
      </c>
      <c r="D166" t="s">
        <v>331</v>
      </c>
      <c r="E166" s="2">
        <f>ROUNDDOWN(SUM($C$3:$C165)/8,0)</f>
        <v>230</v>
      </c>
      <c r="F166" s="2">
        <f>ROUNDUP((SUM($C$3:$C166)/8-1),0)</f>
        <v>230</v>
      </c>
      <c r="G166" t="s">
        <v>264</v>
      </c>
      <c r="H166">
        <v>7</v>
      </c>
      <c r="I166">
        <v>7</v>
      </c>
      <c r="J166">
        <v>7</v>
      </c>
      <c r="K166">
        <v>7</v>
      </c>
    </row>
    <row r="167" spans="2:11" x14ac:dyDescent="0.25">
      <c r="B167" t="s">
        <v>332</v>
      </c>
      <c r="C167">
        <v>16</v>
      </c>
      <c r="D167" t="s">
        <v>333</v>
      </c>
      <c r="E167" s="2">
        <f>ROUNDDOWN(SUM($C$3:$C166)/8,0)</f>
        <v>231</v>
      </c>
      <c r="F167" s="2">
        <f>ROUNDUP((SUM($C$3:$C167)/8-1),0)</f>
        <v>232</v>
      </c>
      <c r="G167" t="s">
        <v>291</v>
      </c>
      <c r="H167">
        <v>25</v>
      </c>
      <c r="I167">
        <v>25</v>
      </c>
      <c r="J167">
        <v>25</v>
      </c>
      <c r="K167">
        <v>25</v>
      </c>
    </row>
    <row r="168" spans="2:11" x14ac:dyDescent="0.25">
      <c r="B168" t="s">
        <v>334</v>
      </c>
      <c r="C168">
        <v>16</v>
      </c>
      <c r="D168" t="s">
        <v>335</v>
      </c>
      <c r="E168" s="2">
        <f>ROUNDDOWN(SUM($C$3:$C167)/8,0)</f>
        <v>233</v>
      </c>
      <c r="F168" s="2">
        <f>ROUNDUP((SUM($C$3:$C168)/8-1),0)</f>
        <v>234</v>
      </c>
      <c r="G168" t="s">
        <v>291</v>
      </c>
      <c r="H168">
        <v>25</v>
      </c>
      <c r="I168">
        <v>25</v>
      </c>
      <c r="J168">
        <v>25</v>
      </c>
      <c r="K168">
        <v>25</v>
      </c>
    </row>
    <row r="169" spans="2:11" x14ac:dyDescent="0.25">
      <c r="B169" t="s">
        <v>336</v>
      </c>
      <c r="C169">
        <v>16</v>
      </c>
      <c r="D169" t="s">
        <v>337</v>
      </c>
      <c r="E169" s="2">
        <f>ROUNDDOWN(SUM($C$3:$C168)/8,0)</f>
        <v>235</v>
      </c>
      <c r="F169" s="2">
        <f>ROUNDUP((SUM($C$3:$C169)/8-1),0)</f>
        <v>236</v>
      </c>
      <c r="G169" t="s">
        <v>291</v>
      </c>
      <c r="H169">
        <v>330</v>
      </c>
      <c r="I169">
        <v>330</v>
      </c>
      <c r="J169">
        <v>330</v>
      </c>
      <c r="K169">
        <v>330</v>
      </c>
    </row>
    <row r="170" spans="2:11" x14ac:dyDescent="0.25">
      <c r="B170" t="s">
        <v>338</v>
      </c>
      <c r="C170">
        <v>16</v>
      </c>
      <c r="D170" t="s">
        <v>339</v>
      </c>
      <c r="E170" s="2">
        <f>ROUNDDOWN(SUM($C$3:$C169)/8,0)</f>
        <v>237</v>
      </c>
      <c r="F170" s="2">
        <f>ROUNDUP((SUM($C$3:$C170)/8-1),0)</f>
        <v>238</v>
      </c>
      <c r="G170" t="s">
        <v>291</v>
      </c>
      <c r="H170">
        <v>50</v>
      </c>
      <c r="I170">
        <v>50</v>
      </c>
      <c r="J170">
        <v>50</v>
      </c>
      <c r="K170">
        <v>50</v>
      </c>
    </row>
    <row r="171" spans="2:11" x14ac:dyDescent="0.25">
      <c r="B171" t="s">
        <v>340</v>
      </c>
      <c r="C171">
        <v>16</v>
      </c>
      <c r="D171" t="s">
        <v>341</v>
      </c>
      <c r="E171" s="2">
        <f>ROUNDDOWN(SUM($C$3:$C170)/8,0)</f>
        <v>239</v>
      </c>
      <c r="F171" s="2">
        <f>ROUNDUP((SUM($C$3:$C171)/8-1),0)</f>
        <v>240</v>
      </c>
      <c r="G171" t="s">
        <v>291</v>
      </c>
      <c r="H171">
        <v>50</v>
      </c>
      <c r="I171">
        <v>50</v>
      </c>
      <c r="J171">
        <v>50</v>
      </c>
      <c r="K171">
        <v>50</v>
      </c>
    </row>
    <row r="172" spans="2:11" x14ac:dyDescent="0.25">
      <c r="B172" t="s">
        <v>342</v>
      </c>
      <c r="C172">
        <v>16</v>
      </c>
      <c r="D172" t="s">
        <v>343</v>
      </c>
      <c r="E172" s="2">
        <f>ROUNDDOWN(SUM($C$3:$C171)/8,0)</f>
        <v>241</v>
      </c>
      <c r="F172" s="2">
        <f>ROUNDUP((SUM($C$3:$C172)/8-1),0)</f>
        <v>242</v>
      </c>
      <c r="G172" t="s">
        <v>291</v>
      </c>
      <c r="H172">
        <v>1300</v>
      </c>
      <c r="I172">
        <v>1300</v>
      </c>
      <c r="J172">
        <v>1300</v>
      </c>
      <c r="K172">
        <v>1300</v>
      </c>
    </row>
    <row r="173" spans="2:11" x14ac:dyDescent="0.25">
      <c r="B173" t="s">
        <v>344</v>
      </c>
      <c r="C173">
        <v>16</v>
      </c>
      <c r="D173" t="s">
        <v>345</v>
      </c>
      <c r="E173" s="2">
        <f>ROUNDDOWN(SUM($C$3:$C172)/8,0)</f>
        <v>243</v>
      </c>
      <c r="F173" s="2">
        <f>ROUNDUP((SUM($C$3:$C173)/8-1),0)</f>
        <v>244</v>
      </c>
      <c r="G173" t="s">
        <v>291</v>
      </c>
      <c r="H173" s="6">
        <v>17272</v>
      </c>
      <c r="I173" s="6">
        <v>17272</v>
      </c>
      <c r="J173" s="6">
        <v>17272</v>
      </c>
      <c r="K173" s="6">
        <v>17272</v>
      </c>
    </row>
    <row r="174" spans="2:11" x14ac:dyDescent="0.25">
      <c r="B174" t="s">
        <v>346</v>
      </c>
      <c r="C174">
        <v>16</v>
      </c>
      <c r="D174" t="s">
        <v>347</v>
      </c>
      <c r="E174" s="2">
        <f>ROUNDDOWN(SUM($C$3:$C173)/8,0)</f>
        <v>245</v>
      </c>
      <c r="F174" s="2">
        <f>ROUNDUP((SUM($C$3:$C174)/8-1),0)</f>
        <v>246</v>
      </c>
      <c r="G174" t="s">
        <v>291</v>
      </c>
      <c r="H174" s="6">
        <v>8240</v>
      </c>
      <c r="I174" s="6">
        <v>8240</v>
      </c>
      <c r="J174" s="6">
        <v>8240</v>
      </c>
      <c r="K174" s="6">
        <v>8240</v>
      </c>
    </row>
    <row r="175" spans="2:11" x14ac:dyDescent="0.25">
      <c r="B175" t="s">
        <v>348</v>
      </c>
      <c r="C175">
        <v>16</v>
      </c>
      <c r="D175" t="s">
        <v>349</v>
      </c>
      <c r="E175" s="2">
        <f>ROUNDDOWN(SUM($C$3:$C174)/8,0)</f>
        <v>247</v>
      </c>
      <c r="F175" s="2">
        <f>ROUNDUP((SUM($C$3:$C175)/8-1),0)</f>
        <v>248</v>
      </c>
      <c r="G175" t="s">
        <v>291</v>
      </c>
      <c r="H175" s="6">
        <v>8096</v>
      </c>
      <c r="I175" s="6">
        <v>8096</v>
      </c>
      <c r="J175" s="6">
        <v>8096</v>
      </c>
      <c r="K175" s="6">
        <v>8096</v>
      </c>
    </row>
    <row r="176" spans="2:11" x14ac:dyDescent="0.25">
      <c r="B176" t="s">
        <v>350</v>
      </c>
      <c r="C176">
        <v>16</v>
      </c>
      <c r="D176" t="s">
        <v>351</v>
      </c>
      <c r="E176" s="2">
        <f>ROUNDDOWN(SUM($C$3:$C175)/8,0)</f>
        <v>249</v>
      </c>
      <c r="F176" s="2">
        <f>ROUNDUP((SUM($C$3:$C176)/8-1),0)</f>
        <v>250</v>
      </c>
      <c r="G176" t="s">
        <v>291</v>
      </c>
      <c r="H176" s="6">
        <v>8096</v>
      </c>
      <c r="I176" s="6">
        <v>8096</v>
      </c>
      <c r="J176" s="6">
        <v>8096</v>
      </c>
      <c r="K176" s="6">
        <v>8096</v>
      </c>
    </row>
    <row r="177" spans="1:11" x14ac:dyDescent="0.25">
      <c r="B177" t="s">
        <v>352</v>
      </c>
      <c r="C177">
        <v>16</v>
      </c>
      <c r="D177" t="s">
        <v>353</v>
      </c>
      <c r="E177" s="2">
        <f>ROUNDDOWN(SUM($C$3:$C176)/8,0)</f>
        <v>251</v>
      </c>
      <c r="F177" s="2">
        <f>ROUNDUP((SUM($C$3:$C177)/8-1),0)</f>
        <v>252</v>
      </c>
      <c r="G177" t="s">
        <v>291</v>
      </c>
      <c r="H177" s="6">
        <v>4136</v>
      </c>
      <c r="I177" s="6">
        <v>4136</v>
      </c>
      <c r="J177" s="6">
        <v>4136</v>
      </c>
      <c r="K177" s="6">
        <v>4136</v>
      </c>
    </row>
    <row r="178" spans="1:11" x14ac:dyDescent="0.25">
      <c r="B178" t="s">
        <v>354</v>
      </c>
      <c r="C178">
        <v>16</v>
      </c>
      <c r="D178" t="s">
        <v>355</v>
      </c>
      <c r="E178" s="2">
        <f>ROUNDDOWN(SUM($C$3:$C177)/8,0)</f>
        <v>253</v>
      </c>
      <c r="F178" s="2">
        <f>ROUNDUP((SUM($C$3:$C178)/8-1),0)</f>
        <v>254</v>
      </c>
      <c r="G178" t="s">
        <v>291</v>
      </c>
      <c r="H178" s="6">
        <v>4000</v>
      </c>
      <c r="I178" s="6">
        <v>4000</v>
      </c>
      <c r="J178" s="6">
        <v>4000</v>
      </c>
      <c r="K178" s="6">
        <v>4000</v>
      </c>
    </row>
    <row r="179" spans="1:11" x14ac:dyDescent="0.25">
      <c r="B179" t="s">
        <v>356</v>
      </c>
      <c r="C179">
        <v>16</v>
      </c>
      <c r="D179" t="s">
        <v>357</v>
      </c>
      <c r="E179" s="2">
        <f>ROUNDDOWN(SUM($C$3:$C178)/8,0)</f>
        <v>255</v>
      </c>
      <c r="F179" s="2">
        <f>ROUNDUP((SUM($C$3:$C179)/8-1),0)</f>
        <v>256</v>
      </c>
      <c r="G179" t="s">
        <v>291</v>
      </c>
      <c r="H179" s="6">
        <v>3936</v>
      </c>
      <c r="I179" s="6">
        <v>3936</v>
      </c>
      <c r="J179" s="6">
        <v>3936</v>
      </c>
      <c r="K179" s="6">
        <v>3936</v>
      </c>
    </row>
    <row r="180" spans="1:11" x14ac:dyDescent="0.25">
      <c r="B180" t="s">
        <v>358</v>
      </c>
      <c r="C180">
        <v>16</v>
      </c>
      <c r="D180" t="s">
        <v>359</v>
      </c>
      <c r="E180" s="2">
        <f>ROUNDDOWN(SUM($C$3:$C179)/8,0)</f>
        <v>257</v>
      </c>
      <c r="F180" s="2">
        <f>ROUNDUP((SUM($C$3:$C180)/8-1),0)</f>
        <v>258</v>
      </c>
      <c r="G180" t="s">
        <v>291</v>
      </c>
      <c r="H180" s="6">
        <v>3912</v>
      </c>
      <c r="I180" s="6">
        <v>3912</v>
      </c>
      <c r="J180" s="6">
        <v>3912</v>
      </c>
      <c r="K180" s="6">
        <v>3912</v>
      </c>
    </row>
    <row r="181" spans="1:11" x14ac:dyDescent="0.25">
      <c r="B181" t="s">
        <v>360</v>
      </c>
      <c r="C181">
        <v>16</v>
      </c>
      <c r="D181" t="s">
        <v>361</v>
      </c>
      <c r="E181" s="2">
        <f>ROUNDDOWN(SUM($C$3:$C180)/8,0)</f>
        <v>259</v>
      </c>
      <c r="F181" s="2">
        <f>ROUNDUP((SUM($C$3:$C181)/8-1),0)</f>
        <v>260</v>
      </c>
      <c r="G181" t="s">
        <v>291</v>
      </c>
      <c r="H181" s="6">
        <v>3912</v>
      </c>
      <c r="I181" s="6">
        <v>3912</v>
      </c>
      <c r="J181" s="6">
        <v>3912</v>
      </c>
      <c r="K181" s="6">
        <v>3912</v>
      </c>
    </row>
    <row r="182" spans="1:11" x14ac:dyDescent="0.25">
      <c r="B182" t="s">
        <v>362</v>
      </c>
      <c r="C182">
        <v>16</v>
      </c>
      <c r="D182" t="s">
        <v>363</v>
      </c>
      <c r="E182" s="2">
        <f>ROUNDDOWN(SUM($C$3:$C181)/8,0)</f>
        <v>261</v>
      </c>
      <c r="F182" s="2">
        <f>ROUNDUP((SUM($C$3:$C182)/8-1),0)</f>
        <v>262</v>
      </c>
      <c r="G182" t="s">
        <v>291</v>
      </c>
      <c r="H182" s="6">
        <v>3936</v>
      </c>
      <c r="I182" s="6">
        <v>3936</v>
      </c>
      <c r="J182" s="6">
        <v>3936</v>
      </c>
      <c r="K182" s="6">
        <v>3936</v>
      </c>
    </row>
    <row r="183" spans="1:11" x14ac:dyDescent="0.25">
      <c r="B183" t="s">
        <v>364</v>
      </c>
      <c r="C183">
        <v>16</v>
      </c>
      <c r="D183" t="s">
        <v>365</v>
      </c>
      <c r="E183" s="2">
        <f>ROUNDDOWN(SUM($C$3:$C182)/8,0)</f>
        <v>263</v>
      </c>
      <c r="F183" s="2">
        <f>ROUNDUP((SUM($C$3:$C183)/8-1),0)</f>
        <v>264</v>
      </c>
      <c r="G183" t="s">
        <v>291</v>
      </c>
      <c r="H183" s="6">
        <v>4000</v>
      </c>
      <c r="I183" s="6">
        <v>4000</v>
      </c>
      <c r="J183" s="6">
        <v>4000</v>
      </c>
      <c r="K183" s="6">
        <v>4000</v>
      </c>
    </row>
    <row r="184" spans="1:11" x14ac:dyDescent="0.25">
      <c r="B184" t="s">
        <v>366</v>
      </c>
      <c r="C184">
        <v>16</v>
      </c>
      <c r="D184" t="s">
        <v>367</v>
      </c>
      <c r="E184" s="2">
        <f>ROUNDDOWN(SUM($C$3:$C183)/8,0)</f>
        <v>265</v>
      </c>
      <c r="F184" s="2">
        <f>ROUNDUP((SUM($C$3:$C184)/8-1),0)</f>
        <v>266</v>
      </c>
      <c r="G184" t="s">
        <v>291</v>
      </c>
      <c r="H184" s="7">
        <v>4588</v>
      </c>
      <c r="I184" s="7">
        <v>4588</v>
      </c>
      <c r="J184" s="7">
        <v>4588</v>
      </c>
      <c r="K184" s="7">
        <v>4588</v>
      </c>
    </row>
    <row r="185" spans="1:11" x14ac:dyDescent="0.25">
      <c r="B185" t="s">
        <v>368</v>
      </c>
      <c r="C185">
        <v>8</v>
      </c>
      <c r="D185" t="s">
        <v>369</v>
      </c>
      <c r="E185" s="2">
        <f>ROUNDDOWN(SUM($C$3:$C184)/8,0)</f>
        <v>267</v>
      </c>
      <c r="F185" s="2">
        <f>ROUNDUP((SUM($C$3:$C185)/8-1),0)</f>
        <v>267</v>
      </c>
      <c r="G185" t="s">
        <v>264</v>
      </c>
      <c r="H185">
        <v>5</v>
      </c>
      <c r="I185">
        <v>5</v>
      </c>
      <c r="J185">
        <v>5</v>
      </c>
      <c r="K185">
        <v>5</v>
      </c>
    </row>
    <row r="186" spans="1:11" x14ac:dyDescent="0.25">
      <c r="B186" t="s">
        <v>33</v>
      </c>
      <c r="C186">
        <v>16</v>
      </c>
      <c r="D186" t="s">
        <v>370</v>
      </c>
      <c r="E186" s="2">
        <f>ROUNDDOWN(SUM($C$3:$C185)/8,0)</f>
        <v>268</v>
      </c>
      <c r="F186" s="2">
        <f>ROUNDUP((SUM($C$3:$C186)/8-1),0)</f>
        <v>269</v>
      </c>
      <c r="G186" t="s">
        <v>264</v>
      </c>
      <c r="H186">
        <v>0</v>
      </c>
      <c r="I186">
        <v>0</v>
      </c>
      <c r="J186">
        <v>0</v>
      </c>
      <c r="K186">
        <v>0</v>
      </c>
    </row>
    <row r="187" spans="1:11" x14ac:dyDescent="0.25">
      <c r="A187" t="s">
        <v>371</v>
      </c>
      <c r="B187" t="s">
        <v>372</v>
      </c>
      <c r="C187">
        <v>8</v>
      </c>
      <c r="D187" t="s">
        <v>373</v>
      </c>
      <c r="E187" s="2">
        <f>ROUNDDOWN(SUM($C$3:$C186)/8,0)</f>
        <v>270</v>
      </c>
      <c r="F187" s="2">
        <f>ROUNDUP((SUM($C$3:$C187)/8-1),0)</f>
        <v>270</v>
      </c>
      <c r="G187" t="s">
        <v>234</v>
      </c>
      <c r="H187">
        <v>30</v>
      </c>
      <c r="I187">
        <v>30</v>
      </c>
      <c r="J187">
        <v>30</v>
      </c>
      <c r="K187">
        <v>30</v>
      </c>
    </row>
    <row r="188" spans="1:11" x14ac:dyDescent="0.25">
      <c r="B188" t="s">
        <v>374</v>
      </c>
      <c r="C188">
        <v>8</v>
      </c>
      <c r="D188" t="s">
        <v>375</v>
      </c>
      <c r="E188" s="2">
        <f>ROUNDDOWN(SUM($C$3:$C187)/8,0)</f>
        <v>271</v>
      </c>
      <c r="F188" s="2">
        <f>ROUNDUP((SUM($C$3:$C188)/8-1),0)</f>
        <v>271</v>
      </c>
      <c r="G188" t="s">
        <v>376</v>
      </c>
      <c r="H188">
        <v>110</v>
      </c>
      <c r="I188">
        <v>110</v>
      </c>
      <c r="J188">
        <v>110</v>
      </c>
      <c r="K188">
        <v>110</v>
      </c>
    </row>
    <row r="189" spans="1:11" x14ac:dyDescent="0.25">
      <c r="B189" t="s">
        <v>377</v>
      </c>
      <c r="C189">
        <v>16</v>
      </c>
      <c r="D189" t="s">
        <v>378</v>
      </c>
      <c r="E189" s="2">
        <f>ROUNDDOWN(SUM($C$3:$C188)/8,0)</f>
        <v>272</v>
      </c>
      <c r="F189" s="2">
        <f>ROUNDUP((SUM($C$3:$C189)/8-1),0)</f>
        <v>273</v>
      </c>
      <c r="G189" t="s">
        <v>252</v>
      </c>
      <c r="H189">
        <v>106</v>
      </c>
      <c r="I189">
        <v>106</v>
      </c>
      <c r="J189">
        <v>106</v>
      </c>
      <c r="K189">
        <v>106</v>
      </c>
    </row>
    <row r="190" spans="1:11" x14ac:dyDescent="0.25">
      <c r="B190" t="s">
        <v>379</v>
      </c>
      <c r="C190">
        <v>16</v>
      </c>
      <c r="D190" t="s">
        <v>380</v>
      </c>
      <c r="E190" s="2">
        <f>ROUNDDOWN(SUM($C$3:$C189)/8,0)</f>
        <v>274</v>
      </c>
      <c r="F190" s="2">
        <f>ROUNDUP((SUM($C$3:$C190)/8-1),0)</f>
        <v>275</v>
      </c>
      <c r="G190" t="s">
        <v>252</v>
      </c>
      <c r="H190">
        <v>110</v>
      </c>
      <c r="I190">
        <v>110</v>
      </c>
      <c r="J190">
        <v>110</v>
      </c>
      <c r="K190">
        <v>110</v>
      </c>
    </row>
    <row r="191" spans="1:11" x14ac:dyDescent="0.25">
      <c r="B191" t="s">
        <v>381</v>
      </c>
      <c r="C191">
        <v>16</v>
      </c>
      <c r="D191" t="s">
        <v>382</v>
      </c>
      <c r="E191" s="2">
        <f>ROUNDDOWN(SUM($C$3:$C190)/8,0)</f>
        <v>276</v>
      </c>
      <c r="F191" s="2">
        <f>ROUNDUP((SUM($C$3:$C191)/8-1),0)</f>
        <v>277</v>
      </c>
      <c r="H191">
        <v>14</v>
      </c>
      <c r="I191">
        <v>14</v>
      </c>
      <c r="J191">
        <v>14</v>
      </c>
      <c r="K191">
        <v>14</v>
      </c>
    </row>
    <row r="192" spans="1:11" x14ac:dyDescent="0.25">
      <c r="B192" t="s">
        <v>383</v>
      </c>
      <c r="C192">
        <v>8</v>
      </c>
      <c r="D192" t="s">
        <v>384</v>
      </c>
      <c r="E192" s="2">
        <f>ROUNDDOWN(SUM($C$3:$C191)/8,0)</f>
        <v>278</v>
      </c>
      <c r="F192" s="2">
        <f>ROUNDUP((SUM($C$3:$C192)/8-1),0)</f>
        <v>278</v>
      </c>
      <c r="H192">
        <v>24</v>
      </c>
      <c r="I192">
        <v>24</v>
      </c>
      <c r="J192">
        <v>24</v>
      </c>
      <c r="K192">
        <v>24</v>
      </c>
    </row>
    <row r="193" spans="1:11" x14ac:dyDescent="0.25">
      <c r="B193" t="s">
        <v>385</v>
      </c>
      <c r="C193">
        <v>8</v>
      </c>
      <c r="D193" t="s">
        <v>386</v>
      </c>
      <c r="E193" s="2">
        <f>ROUNDDOWN(SUM($C$3:$C192)/8,0)</f>
        <v>279</v>
      </c>
      <c r="F193" s="2">
        <f>ROUNDUP((SUM($C$3:$C193)/8-1),0)</f>
        <v>279</v>
      </c>
      <c r="H193">
        <v>11</v>
      </c>
      <c r="I193">
        <v>11</v>
      </c>
      <c r="J193">
        <v>11</v>
      </c>
      <c r="K193">
        <v>11</v>
      </c>
    </row>
    <row r="194" spans="1:11" x14ac:dyDescent="0.25">
      <c r="B194" t="s">
        <v>387</v>
      </c>
      <c r="C194">
        <v>8</v>
      </c>
      <c r="D194" t="s">
        <v>388</v>
      </c>
      <c r="E194" s="2">
        <f>ROUNDDOWN(SUM($C$3:$C193)/8,0)</f>
        <v>280</v>
      </c>
      <c r="F194" s="2">
        <f>ROUNDUP((SUM($C$3:$C194)/8-1),0)</f>
        <v>280</v>
      </c>
      <c r="G194" t="s">
        <v>389</v>
      </c>
      <c r="H194">
        <v>2</v>
      </c>
      <c r="I194">
        <v>2</v>
      </c>
      <c r="J194">
        <v>2</v>
      </c>
      <c r="K194">
        <v>2</v>
      </c>
    </row>
    <row r="195" spans="1:11" x14ac:dyDescent="0.25">
      <c r="B195" t="s">
        <v>390</v>
      </c>
      <c r="C195">
        <v>8</v>
      </c>
      <c r="D195" t="s">
        <v>391</v>
      </c>
      <c r="E195" s="2">
        <f>ROUNDDOWN(SUM($C$3:$C194)/8,0)</f>
        <v>281</v>
      </c>
      <c r="F195" s="2">
        <f>ROUNDUP((SUM($C$3:$C195)/8-1),0)</f>
        <v>281</v>
      </c>
      <c r="G195" t="s">
        <v>389</v>
      </c>
      <c r="H195">
        <v>18</v>
      </c>
      <c r="I195">
        <v>18</v>
      </c>
      <c r="J195">
        <v>18</v>
      </c>
      <c r="K195">
        <v>18</v>
      </c>
    </row>
    <row r="196" spans="1:11" x14ac:dyDescent="0.25">
      <c r="B196" t="s">
        <v>392</v>
      </c>
      <c r="C196">
        <v>8</v>
      </c>
      <c r="D196" t="s">
        <v>393</v>
      </c>
      <c r="E196" s="2">
        <f>ROUNDDOWN(SUM($C$3:$C195)/8,0)</f>
        <v>282</v>
      </c>
      <c r="F196" s="2">
        <f>ROUNDUP((SUM($C$3:$C196)/8-1),0)</f>
        <v>282</v>
      </c>
      <c r="G196" t="s">
        <v>389</v>
      </c>
      <c r="H196">
        <v>36</v>
      </c>
      <c r="I196">
        <v>36</v>
      </c>
      <c r="J196">
        <v>36</v>
      </c>
      <c r="K196">
        <v>36</v>
      </c>
    </row>
    <row r="197" spans="1:11" x14ac:dyDescent="0.25">
      <c r="B197" t="s">
        <v>394</v>
      </c>
      <c r="C197">
        <v>8</v>
      </c>
      <c r="D197" t="s">
        <v>395</v>
      </c>
      <c r="E197" s="2">
        <f>ROUNDDOWN(SUM($C$3:$C196)/8,0)</f>
        <v>283</v>
      </c>
      <c r="F197" s="2">
        <f>ROUNDUP((SUM($C$3:$C197)/8-1),0)</f>
        <v>283</v>
      </c>
      <c r="G197" t="s">
        <v>396</v>
      </c>
      <c r="H197">
        <v>1</v>
      </c>
      <c r="I197">
        <v>1</v>
      </c>
      <c r="J197">
        <v>1</v>
      </c>
      <c r="K197">
        <v>1</v>
      </c>
    </row>
    <row r="198" spans="1:11" x14ac:dyDescent="0.25">
      <c r="B198" t="s">
        <v>397</v>
      </c>
      <c r="C198">
        <v>8</v>
      </c>
      <c r="D198" t="s">
        <v>398</v>
      </c>
      <c r="E198" s="2">
        <f>ROUNDDOWN(SUM($C$3:$C197)/8,0)</f>
        <v>284</v>
      </c>
      <c r="F198" s="2">
        <f>ROUNDUP((SUM($C$3:$C198)/8-1),0)</f>
        <v>284</v>
      </c>
      <c r="G198" t="s">
        <v>234</v>
      </c>
      <c r="H198">
        <v>120</v>
      </c>
      <c r="I198">
        <v>120</v>
      </c>
      <c r="J198">
        <v>120</v>
      </c>
      <c r="K198">
        <v>120</v>
      </c>
    </row>
    <row r="199" spans="1:11" x14ac:dyDescent="0.25">
      <c r="B199" t="s">
        <v>399</v>
      </c>
      <c r="C199">
        <v>8</v>
      </c>
      <c r="D199" t="s">
        <v>590</v>
      </c>
      <c r="E199" s="2">
        <f>ROUNDDOWN(SUM($C$3:$C198)/8,0)</f>
        <v>285</v>
      </c>
      <c r="F199" s="2">
        <f>ROUNDUP((SUM($C$3:$C199)/8-1),0)</f>
        <v>285</v>
      </c>
      <c r="H199">
        <v>3</v>
      </c>
      <c r="I199">
        <v>3</v>
      </c>
      <c r="J199">
        <v>3</v>
      </c>
      <c r="K199">
        <v>3</v>
      </c>
    </row>
    <row r="200" spans="1:11" x14ac:dyDescent="0.25">
      <c r="B200" t="s">
        <v>591</v>
      </c>
      <c r="C200">
        <v>8</v>
      </c>
      <c r="D200" t="s">
        <v>592</v>
      </c>
      <c r="E200" s="2">
        <f>ROUNDDOWN(SUM($C$3:$C199)/8,0)</f>
        <v>286</v>
      </c>
      <c r="F200" s="2">
        <f>ROUNDUP((SUM($C$3:$C200)/8-1),0)</f>
        <v>286</v>
      </c>
      <c r="H200">
        <v>5</v>
      </c>
      <c r="I200">
        <v>5</v>
      </c>
      <c r="J200">
        <v>5</v>
      </c>
      <c r="K200">
        <v>5</v>
      </c>
    </row>
    <row r="201" spans="1:11" x14ac:dyDescent="0.25">
      <c r="B201" s="8" t="s">
        <v>574</v>
      </c>
      <c r="C201" s="5">
        <v>8</v>
      </c>
      <c r="D201" s="5" t="s">
        <v>575</v>
      </c>
      <c r="E201" s="2">
        <f>ROUNDDOWN(SUM($C$3:$C200)/8,0)</f>
        <v>287</v>
      </c>
      <c r="F201" s="2">
        <f>ROUNDUP((SUM($C$3:$C201)/8-1),0)</f>
        <v>287</v>
      </c>
      <c r="G201" s="5"/>
      <c r="H201" s="5">
        <v>1</v>
      </c>
      <c r="I201" s="5">
        <v>1</v>
      </c>
      <c r="J201" s="5">
        <v>1</v>
      </c>
      <c r="K201" s="5">
        <v>1</v>
      </c>
    </row>
    <row r="202" spans="1:11" x14ac:dyDescent="0.25">
      <c r="B202" s="8" t="s">
        <v>593</v>
      </c>
      <c r="C202" s="5">
        <v>8</v>
      </c>
      <c r="D202" s="5" t="s">
        <v>594</v>
      </c>
      <c r="E202" s="2">
        <f>ROUNDDOWN(SUM($C$3:$C201)/8,0)</f>
        <v>288</v>
      </c>
      <c r="F202" s="2">
        <f>ROUNDUP((SUM($C$3:$C202)/8-1),0)</f>
        <v>288</v>
      </c>
      <c r="G202" s="5"/>
      <c r="H202" s="5">
        <v>2</v>
      </c>
      <c r="I202" s="5">
        <v>2</v>
      </c>
      <c r="J202" s="5">
        <v>2</v>
      </c>
      <c r="K202" s="5">
        <v>2</v>
      </c>
    </row>
    <row r="203" spans="1:11" x14ac:dyDescent="0.25">
      <c r="A203" t="s">
        <v>400</v>
      </c>
      <c r="B203" t="s">
        <v>401</v>
      </c>
      <c r="C203">
        <v>8</v>
      </c>
      <c r="D203" t="s">
        <v>402</v>
      </c>
      <c r="E203" s="2">
        <f>ROUNDDOWN(SUM($C$3:$C202)/8,0)</f>
        <v>289</v>
      </c>
      <c r="F203" s="2">
        <f>ROUNDUP((SUM($C$3:$C203)/8-1),0)</f>
        <v>289</v>
      </c>
      <c r="G203" t="s">
        <v>403</v>
      </c>
      <c r="H203">
        <v>15</v>
      </c>
      <c r="I203">
        <v>15</v>
      </c>
      <c r="J203">
        <v>15</v>
      </c>
      <c r="K203">
        <v>15</v>
      </c>
    </row>
    <row r="204" spans="1:11" x14ac:dyDescent="0.25">
      <c r="B204" t="s">
        <v>404</v>
      </c>
      <c r="C204">
        <v>8</v>
      </c>
      <c r="D204" t="s">
        <v>405</v>
      </c>
      <c r="E204" s="2">
        <f>ROUNDDOWN(SUM($C$3:$C203)/8,0)</f>
        <v>290</v>
      </c>
      <c r="F204" s="2">
        <f>ROUNDUP((SUM($C$3:$C204)/8-1),0)</f>
        <v>290</v>
      </c>
      <c r="G204" t="s">
        <v>406</v>
      </c>
      <c r="H204">
        <v>23</v>
      </c>
      <c r="I204">
        <v>23</v>
      </c>
      <c r="J204">
        <v>23</v>
      </c>
      <c r="K204">
        <v>23</v>
      </c>
    </row>
    <row r="205" spans="1:11" x14ac:dyDescent="0.25">
      <c r="B205" t="s">
        <v>407</v>
      </c>
      <c r="C205">
        <v>8</v>
      </c>
      <c r="D205" t="s">
        <v>408</v>
      </c>
      <c r="E205" s="2">
        <f>ROUNDDOWN(SUM($C$3:$C204)/8,0)</f>
        <v>291</v>
      </c>
      <c r="F205" s="2">
        <f>ROUNDUP((SUM($C$3:$C205)/8-1),0)</f>
        <v>291</v>
      </c>
      <c r="G205" t="s">
        <v>403</v>
      </c>
      <c r="H205">
        <v>12</v>
      </c>
      <c r="I205">
        <v>12</v>
      </c>
      <c r="J205">
        <v>12</v>
      </c>
      <c r="K205">
        <v>12</v>
      </c>
    </row>
    <row r="206" spans="1:11" x14ac:dyDescent="0.25">
      <c r="B206" t="s">
        <v>409</v>
      </c>
      <c r="C206">
        <v>16</v>
      </c>
      <c r="D206" t="s">
        <v>410</v>
      </c>
      <c r="E206" s="2">
        <f>ROUNDDOWN(SUM($C$3:$C205)/8,0)</f>
        <v>292</v>
      </c>
      <c r="F206" s="2">
        <f>ROUNDUP((SUM($C$3:$C206)/8-1),0)</f>
        <v>293</v>
      </c>
      <c r="G206" t="s">
        <v>411</v>
      </c>
      <c r="H206">
        <v>345</v>
      </c>
      <c r="I206">
        <v>345</v>
      </c>
      <c r="J206">
        <v>345</v>
      </c>
      <c r="K206">
        <v>345</v>
      </c>
    </row>
    <row r="207" spans="1:11" x14ac:dyDescent="0.25">
      <c r="B207" t="s">
        <v>412</v>
      </c>
      <c r="C207">
        <v>32</v>
      </c>
      <c r="D207" t="s">
        <v>413</v>
      </c>
      <c r="E207" s="2">
        <f>ROUNDDOWN(SUM($C$3:$C206)/8,0)</f>
        <v>294</v>
      </c>
      <c r="F207" s="2">
        <f>ROUNDUP((SUM($C$3:$C207)/8-1),0)</f>
        <v>297</v>
      </c>
      <c r="G207" t="s">
        <v>244</v>
      </c>
      <c r="H207">
        <v>1000</v>
      </c>
      <c r="I207">
        <v>1000</v>
      </c>
      <c r="J207">
        <v>1000</v>
      </c>
      <c r="K207">
        <v>1000</v>
      </c>
    </row>
    <row r="208" spans="1:11" x14ac:dyDescent="0.25">
      <c r="B208" t="s">
        <v>414</v>
      </c>
      <c r="C208">
        <v>8</v>
      </c>
      <c r="D208" t="s">
        <v>415</v>
      </c>
      <c r="E208" s="2">
        <f>ROUNDDOWN(SUM($C$3:$C207)/8,0)</f>
        <v>298</v>
      </c>
      <c r="F208" s="2">
        <f>ROUNDUP((SUM($C$3:$C208)/8-1),0)</f>
        <v>298</v>
      </c>
      <c r="H208">
        <v>11</v>
      </c>
      <c r="I208">
        <v>11</v>
      </c>
      <c r="J208">
        <v>11</v>
      </c>
      <c r="K208">
        <v>11</v>
      </c>
    </row>
    <row r="209" spans="1:11" x14ac:dyDescent="0.25">
      <c r="B209" t="s">
        <v>416</v>
      </c>
      <c r="C209">
        <v>8</v>
      </c>
      <c r="D209" t="s">
        <v>417</v>
      </c>
      <c r="E209" s="2">
        <f>ROUNDDOWN(SUM($C$3:$C208)/8,0)</f>
        <v>299</v>
      </c>
      <c r="F209" s="2">
        <f>ROUNDUP((SUM($C$3:$C209)/8-1),0)</f>
        <v>299</v>
      </c>
      <c r="H209">
        <v>0</v>
      </c>
      <c r="I209">
        <v>0</v>
      </c>
      <c r="J209">
        <v>0</v>
      </c>
      <c r="K209">
        <v>0</v>
      </c>
    </row>
    <row r="210" spans="1:11" x14ac:dyDescent="0.25">
      <c r="B210" t="s">
        <v>418</v>
      </c>
      <c r="C210">
        <v>8</v>
      </c>
      <c r="D210" t="s">
        <v>419</v>
      </c>
      <c r="E210" s="2">
        <f>ROUNDDOWN(SUM($C$3:$C209)/8,0)</f>
        <v>300</v>
      </c>
      <c r="F210" s="2">
        <f>ROUNDUP((SUM($C$3:$C210)/8-1),0)</f>
        <v>300</v>
      </c>
      <c r="H210">
        <v>99</v>
      </c>
      <c r="I210">
        <v>99</v>
      </c>
      <c r="J210">
        <v>99</v>
      </c>
      <c r="K210">
        <v>99</v>
      </c>
    </row>
    <row r="211" spans="1:11" x14ac:dyDescent="0.25">
      <c r="B211" s="9" t="s">
        <v>420</v>
      </c>
      <c r="C211">
        <v>16</v>
      </c>
      <c r="D211" t="s">
        <v>421</v>
      </c>
      <c r="E211" s="2">
        <f>ROUNDDOWN(SUM($C$3:$C210)/8,0)</f>
        <v>301</v>
      </c>
      <c r="F211" s="2">
        <f>ROUNDUP((SUM($C$3:$C211)/8-1),0)</f>
        <v>302</v>
      </c>
      <c r="H211">
        <v>65535</v>
      </c>
      <c r="I211">
        <v>65535</v>
      </c>
      <c r="J211">
        <v>65535</v>
      </c>
      <c r="K211">
        <v>65535</v>
      </c>
    </row>
    <row r="212" spans="1:11" x14ac:dyDescent="0.25">
      <c r="B212" t="s">
        <v>161</v>
      </c>
      <c r="C212">
        <v>8</v>
      </c>
      <c r="D212" t="s">
        <v>161</v>
      </c>
      <c r="E212" s="2">
        <f>ROUNDDOWN(SUM($C$3:$C211)/8,0)</f>
        <v>303</v>
      </c>
      <c r="F212" s="2">
        <f>ROUNDUP((SUM($C$3:$C212)/8-1),0)</f>
        <v>303</v>
      </c>
      <c r="H212">
        <v>255</v>
      </c>
      <c r="I212">
        <v>255</v>
      </c>
      <c r="J212">
        <v>255</v>
      </c>
      <c r="K212">
        <v>255</v>
      </c>
    </row>
    <row r="213" spans="1:11" x14ac:dyDescent="0.25">
      <c r="A213" t="s">
        <v>422</v>
      </c>
      <c r="B213" t="s">
        <v>423</v>
      </c>
      <c r="C213">
        <v>8</v>
      </c>
      <c r="D213" t="s">
        <v>576</v>
      </c>
      <c r="E213" s="2">
        <f>ROUNDDOWN(SUM($C$3:$C212)/8,0)</f>
        <v>304</v>
      </c>
      <c r="F213" s="2">
        <f>ROUNDUP((SUM($C$3:$C213)/8-1),0)</f>
        <v>304</v>
      </c>
      <c r="G213" t="s">
        <v>264</v>
      </c>
      <c r="H213" s="2">
        <v>-6</v>
      </c>
      <c r="I213" s="2">
        <v>-7</v>
      </c>
      <c r="J213" s="2">
        <v>-7</v>
      </c>
      <c r="K213" s="2">
        <v>-7</v>
      </c>
    </row>
    <row r="214" spans="1:11" x14ac:dyDescent="0.25">
      <c r="B214" t="s">
        <v>424</v>
      </c>
      <c r="C214">
        <v>8</v>
      </c>
      <c r="D214" t="s">
        <v>577</v>
      </c>
      <c r="E214" s="2">
        <f>ROUNDDOWN(SUM($C$3:$C213)/8,0)</f>
        <v>305</v>
      </c>
      <c r="F214" s="2">
        <f>ROUNDUP((SUM($C$3:$C214)/8-1),0)</f>
        <v>305</v>
      </c>
      <c r="G214" t="s">
        <v>264</v>
      </c>
      <c r="H214" s="2">
        <v>-4</v>
      </c>
      <c r="I214" s="2">
        <v>-10</v>
      </c>
      <c r="J214" s="2">
        <v>-10</v>
      </c>
      <c r="K214" s="2">
        <v>-10</v>
      </c>
    </row>
    <row r="215" spans="1:11" x14ac:dyDescent="0.25">
      <c r="B215" t="s">
        <v>425</v>
      </c>
      <c r="C215">
        <v>8</v>
      </c>
      <c r="D215" t="s">
        <v>426</v>
      </c>
      <c r="E215" s="2">
        <f>ROUNDDOWN(SUM($C$3:$C214)/8,0)</f>
        <v>306</v>
      </c>
      <c r="F215" s="2">
        <f>ROUNDUP((SUM($C$3:$C215)/8-1),0)</f>
        <v>306</v>
      </c>
      <c r="G215" t="s">
        <v>427</v>
      </c>
      <c r="H215" s="2">
        <v>13</v>
      </c>
      <c r="I215" s="2">
        <v>13</v>
      </c>
      <c r="J215" s="2">
        <v>13</v>
      </c>
      <c r="K215" s="2">
        <v>13</v>
      </c>
    </row>
    <row r="216" spans="1:11" x14ac:dyDescent="0.25">
      <c r="B216" t="s">
        <v>428</v>
      </c>
      <c r="C216">
        <v>8</v>
      </c>
      <c r="D216" t="s">
        <v>429</v>
      </c>
      <c r="E216" s="2">
        <f>ROUNDDOWN(SUM($C$3:$C215)/8,0)</f>
        <v>307</v>
      </c>
      <c r="F216" s="2">
        <f>ROUNDUP((SUM($C$3:$C216)/8-1),0)</f>
        <v>307</v>
      </c>
      <c r="G216" t="s">
        <v>264</v>
      </c>
      <c r="H216" s="2">
        <v>68</v>
      </c>
      <c r="I216" s="2">
        <v>65</v>
      </c>
      <c r="J216" s="2">
        <v>66</v>
      </c>
      <c r="K216" s="2">
        <v>67</v>
      </c>
    </row>
    <row r="217" spans="1:11" x14ac:dyDescent="0.25">
      <c r="B217" t="s">
        <v>430</v>
      </c>
      <c r="C217">
        <v>8</v>
      </c>
      <c r="D217" t="s">
        <v>431</v>
      </c>
      <c r="E217" s="2">
        <f>ROUNDDOWN(SUM($C$3:$C216)/8,0)</f>
        <v>308</v>
      </c>
      <c r="F217" s="2">
        <f>ROUNDUP((SUM($C$3:$C217)/8-1),0)</f>
        <v>308</v>
      </c>
      <c r="G217" t="s">
        <v>264</v>
      </c>
      <c r="H217" s="2">
        <v>48</v>
      </c>
      <c r="I217" s="2">
        <v>47</v>
      </c>
      <c r="J217" s="2">
        <v>48</v>
      </c>
      <c r="K217" s="2">
        <v>48</v>
      </c>
    </row>
    <row r="218" spans="1:11" x14ac:dyDescent="0.25">
      <c r="B218" t="s">
        <v>432</v>
      </c>
      <c r="C218">
        <v>8</v>
      </c>
      <c r="D218" t="s">
        <v>433</v>
      </c>
      <c r="E218" s="2">
        <f>ROUNDDOWN(SUM($C$3:$C217)/8,0)</f>
        <v>309</v>
      </c>
      <c r="F218" s="2">
        <f>ROUNDUP((SUM($C$3:$C218)/8-1),0)</f>
        <v>309</v>
      </c>
      <c r="G218" t="s">
        <v>264</v>
      </c>
      <c r="H218" s="2">
        <v>15</v>
      </c>
      <c r="I218" s="2">
        <v>14</v>
      </c>
      <c r="J218" s="2">
        <v>13</v>
      </c>
      <c r="K218" s="2">
        <v>13</v>
      </c>
    </row>
    <row r="219" spans="1:11" x14ac:dyDescent="0.25">
      <c r="B219" t="s">
        <v>434</v>
      </c>
      <c r="C219">
        <v>8</v>
      </c>
      <c r="D219" t="s">
        <v>435</v>
      </c>
      <c r="E219" s="2">
        <f>ROUNDDOWN(SUM($C$3:$C218)/8,0)</f>
        <v>310</v>
      </c>
      <c r="F219" s="2">
        <f>ROUNDUP((SUM($C$3:$C219)/8-1),0)</f>
        <v>310</v>
      </c>
      <c r="G219" t="s">
        <v>427</v>
      </c>
      <c r="H219" s="2">
        <v>13</v>
      </c>
      <c r="I219" s="2">
        <v>13</v>
      </c>
      <c r="J219" s="2">
        <v>13</v>
      </c>
      <c r="K219" s="2">
        <v>38</v>
      </c>
    </row>
    <row r="220" spans="1:11" x14ac:dyDescent="0.25">
      <c r="B220" t="s">
        <v>597</v>
      </c>
      <c r="C220">
        <v>8</v>
      </c>
      <c r="D220" t="s">
        <v>598</v>
      </c>
      <c r="E220" s="2">
        <f>ROUNDDOWN(SUM($C$3:$C219)/8,0)</f>
        <v>311</v>
      </c>
      <c r="F220" s="2">
        <f>ROUNDUP((SUM($C$3:$C220)/8-1),0)</f>
        <v>311</v>
      </c>
      <c r="H220" s="2">
        <v>96</v>
      </c>
      <c r="I220" s="2">
        <v>96</v>
      </c>
      <c r="J220" s="2">
        <v>96</v>
      </c>
      <c r="K220" s="2">
        <v>96</v>
      </c>
    </row>
    <row r="221" spans="1:11" x14ac:dyDescent="0.25">
      <c r="B221" t="s">
        <v>599</v>
      </c>
      <c r="C221">
        <v>8</v>
      </c>
      <c r="D221" t="s">
        <v>600</v>
      </c>
      <c r="E221" s="2">
        <f>ROUNDDOWN(SUM($C$3:$C220)/8,0)</f>
        <v>312</v>
      </c>
      <c r="F221" s="2">
        <f>ROUNDUP((SUM($C$3:$C221)/8-1),0)</f>
        <v>312</v>
      </c>
      <c r="H221" s="2">
        <v>4</v>
      </c>
      <c r="I221" s="2">
        <v>4</v>
      </c>
      <c r="J221" s="2">
        <v>4</v>
      </c>
      <c r="K221" s="2">
        <v>4</v>
      </c>
    </row>
    <row r="222" spans="1:11" x14ac:dyDescent="0.25">
      <c r="B222" t="s">
        <v>601</v>
      </c>
      <c r="C222">
        <v>16</v>
      </c>
      <c r="D222" t="s">
        <v>602</v>
      </c>
      <c r="E222" s="2">
        <f>ROUNDDOWN(SUM($C$3:$C221)/8,0)</f>
        <v>313</v>
      </c>
      <c r="F222" s="2">
        <f>ROUNDUP((SUM($C$3:$C222)/8-1),0)</f>
        <v>314</v>
      </c>
      <c r="H222" s="2">
        <v>100</v>
      </c>
      <c r="I222" s="2">
        <v>100</v>
      </c>
      <c r="J222" s="2">
        <v>100</v>
      </c>
      <c r="K222" s="2">
        <v>100</v>
      </c>
    </row>
    <row r="223" spans="1:11" x14ac:dyDescent="0.25">
      <c r="A223" t="s">
        <v>436</v>
      </c>
      <c r="B223" t="s">
        <v>437</v>
      </c>
      <c r="C223">
        <v>8</v>
      </c>
      <c r="D223" t="s">
        <v>438</v>
      </c>
      <c r="E223" s="2">
        <f>ROUNDDOWN(SUM($C$3:$C222)/8,0)</f>
        <v>315</v>
      </c>
      <c r="F223" s="2">
        <f>ROUNDUP((SUM($C$3:$C223)/8-1),0)</f>
        <v>315</v>
      </c>
      <c r="H223">
        <v>6</v>
      </c>
      <c r="I223">
        <v>6</v>
      </c>
      <c r="J223">
        <v>6</v>
      </c>
      <c r="K223">
        <v>6</v>
      </c>
    </row>
    <row r="224" spans="1:11" x14ac:dyDescent="0.25">
      <c r="B224" t="s">
        <v>439</v>
      </c>
      <c r="C224">
        <v>8</v>
      </c>
      <c r="D224" t="s">
        <v>440</v>
      </c>
      <c r="E224" s="2">
        <f>ROUNDDOWN(SUM($C$3:$C223)/8,0)</f>
        <v>316</v>
      </c>
      <c r="F224" s="2">
        <f>ROUNDUP((SUM($C$3:$C224)/8-1),0)</f>
        <v>316</v>
      </c>
      <c r="H224">
        <v>30</v>
      </c>
      <c r="I224">
        <v>30</v>
      </c>
      <c r="J224">
        <v>30</v>
      </c>
      <c r="K224">
        <v>30</v>
      </c>
    </row>
    <row r="225" spans="1:11" x14ac:dyDescent="0.25">
      <c r="B225" t="s">
        <v>441</v>
      </c>
      <c r="C225">
        <v>8</v>
      </c>
      <c r="D225" t="s">
        <v>442</v>
      </c>
      <c r="E225" s="2">
        <f>ROUNDDOWN(SUM($C$3:$C224)/8,0)</f>
        <v>317</v>
      </c>
      <c r="F225" s="2">
        <f>ROUNDUP((SUM($C$3:$C225)/8-1),0)</f>
        <v>317</v>
      </c>
      <c r="H225">
        <v>2</v>
      </c>
      <c r="I225">
        <v>2</v>
      </c>
      <c r="J225">
        <v>2</v>
      </c>
      <c r="K225">
        <v>2</v>
      </c>
    </row>
    <row r="226" spans="1:11" x14ac:dyDescent="0.25">
      <c r="A226" t="s">
        <v>33</v>
      </c>
      <c r="B226" t="s">
        <v>161</v>
      </c>
      <c r="C226">
        <v>16</v>
      </c>
      <c r="D226" t="s">
        <v>161</v>
      </c>
      <c r="E226" s="2">
        <f>ROUNDDOWN(SUM($C$3:$C225)/8,0)</f>
        <v>318</v>
      </c>
      <c r="F226" s="2">
        <f>ROUNDUP((SUM($C$3:$C226)/8-1),0)</f>
        <v>319</v>
      </c>
      <c r="H226">
        <v>65535</v>
      </c>
      <c r="I226">
        <v>65535</v>
      </c>
      <c r="J226">
        <v>65535</v>
      </c>
      <c r="K226">
        <v>65535</v>
      </c>
    </row>
    <row r="227" spans="1:11" x14ac:dyDescent="0.25">
      <c r="A227" t="s">
        <v>443</v>
      </c>
      <c r="B227" t="s">
        <v>444</v>
      </c>
      <c r="C227">
        <v>8</v>
      </c>
      <c r="D227" t="s">
        <v>445</v>
      </c>
      <c r="E227" s="2">
        <f>ROUNDDOWN(SUM($C$3:$C226)/8,0)</f>
        <v>320</v>
      </c>
      <c r="F227" s="2">
        <f>ROUNDUP((SUM($C$3:$C227)/8-1),0)</f>
        <v>320</v>
      </c>
      <c r="G227" t="s">
        <v>252</v>
      </c>
      <c r="H227">
        <v>8</v>
      </c>
      <c r="I227">
        <v>8</v>
      </c>
      <c r="J227">
        <v>8</v>
      </c>
      <c r="K227">
        <v>8</v>
      </c>
    </row>
    <row r="228" spans="1:11" x14ac:dyDescent="0.25">
      <c r="B228" t="s">
        <v>446</v>
      </c>
      <c r="C228">
        <v>8</v>
      </c>
      <c r="D228" t="s">
        <v>447</v>
      </c>
      <c r="E228" s="2">
        <f>ROUNDDOWN(SUM($C$3:$C227)/8,0)</f>
        <v>321</v>
      </c>
      <c r="F228" s="2">
        <f>ROUNDUP((SUM($C$3:$C228)/8-1),0)</f>
        <v>321</v>
      </c>
      <c r="G228" t="s">
        <v>448</v>
      </c>
      <c r="H228">
        <v>40</v>
      </c>
      <c r="I228">
        <v>40</v>
      </c>
      <c r="J228">
        <v>40</v>
      </c>
      <c r="K228">
        <v>40</v>
      </c>
    </row>
    <row r="229" spans="1:11" x14ac:dyDescent="0.25">
      <c r="B229" t="s">
        <v>449</v>
      </c>
      <c r="C229">
        <v>8</v>
      </c>
      <c r="D229" t="s">
        <v>450</v>
      </c>
      <c r="E229" s="2">
        <f>ROUNDDOWN(SUM($C$3:$C228)/8,0)</f>
        <v>322</v>
      </c>
      <c r="F229" s="2">
        <f>ROUNDUP((SUM($C$3:$C229)/8-1),0)</f>
        <v>322</v>
      </c>
      <c r="G229" t="s">
        <v>503</v>
      </c>
      <c r="H229">
        <v>45</v>
      </c>
      <c r="I229">
        <v>45</v>
      </c>
      <c r="J229">
        <v>45</v>
      </c>
      <c r="K229">
        <v>45</v>
      </c>
    </row>
    <row r="230" spans="1:11" x14ac:dyDescent="0.25">
      <c r="B230" t="s">
        <v>451</v>
      </c>
      <c r="C230">
        <v>8</v>
      </c>
      <c r="D230" t="s">
        <v>452</v>
      </c>
      <c r="E230" s="2">
        <f>ROUNDDOWN(SUM($C$3:$C229)/8,0)</f>
        <v>323</v>
      </c>
      <c r="F230" s="2">
        <f>ROUNDUP((SUM($C$3:$C230)/8-1),0)</f>
        <v>323</v>
      </c>
      <c r="G230" t="s">
        <v>503</v>
      </c>
      <c r="H230">
        <v>207</v>
      </c>
      <c r="I230">
        <v>207</v>
      </c>
      <c r="J230">
        <v>207</v>
      </c>
      <c r="K230">
        <v>207</v>
      </c>
    </row>
    <row r="231" spans="1:11" ht="123.6" customHeight="1" x14ac:dyDescent="0.25">
      <c r="B231" s="10" t="s">
        <v>453</v>
      </c>
      <c r="C231">
        <v>8</v>
      </c>
      <c r="D231" s="1" t="s">
        <v>454</v>
      </c>
      <c r="E231" s="2">
        <f>ROUNDDOWN(SUM($C$3:$C230)/8,0)</f>
        <v>324</v>
      </c>
      <c r="F231" s="2">
        <f>ROUNDUP((SUM($C$3:$C231)/8-1),0)</f>
        <v>324</v>
      </c>
      <c r="G231" t="s">
        <v>455</v>
      </c>
      <c r="H231">
        <v>63</v>
      </c>
      <c r="I231">
        <v>63</v>
      </c>
      <c r="J231">
        <v>63</v>
      </c>
      <c r="K231">
        <v>63</v>
      </c>
    </row>
    <row r="232" spans="1:11" ht="105" customHeight="1" x14ac:dyDescent="0.25">
      <c r="B232" s="11" t="s">
        <v>456</v>
      </c>
      <c r="C232">
        <v>8</v>
      </c>
      <c r="D232" s="1" t="s">
        <v>457</v>
      </c>
      <c r="E232" s="2">
        <f>ROUNDDOWN(SUM($C$3:$C231)/8,0)</f>
        <v>325</v>
      </c>
      <c r="F232" s="2">
        <f>ROUNDUP((SUM($C$3:$C232)/8-1),0)</f>
        <v>325</v>
      </c>
      <c r="H232">
        <v>15</v>
      </c>
      <c r="I232">
        <v>15</v>
      </c>
      <c r="J232">
        <v>15</v>
      </c>
      <c r="K232">
        <v>15</v>
      </c>
    </row>
    <row r="233" spans="1:11" x14ac:dyDescent="0.25">
      <c r="A233" t="s">
        <v>458</v>
      </c>
      <c r="B233" t="s">
        <v>459</v>
      </c>
      <c r="C233">
        <v>8</v>
      </c>
      <c r="D233" t="s">
        <v>460</v>
      </c>
      <c r="E233" s="2">
        <f>ROUNDDOWN(SUM($C$3:$C232)/8,0)</f>
        <v>326</v>
      </c>
      <c r="F233" s="2">
        <f>ROUNDUP((SUM($C$3:$C233)/8-1),0)</f>
        <v>326</v>
      </c>
      <c r="G233" t="s">
        <v>461</v>
      </c>
      <c r="H233">
        <v>30</v>
      </c>
      <c r="I233">
        <v>30</v>
      </c>
      <c r="J233">
        <v>30</v>
      </c>
      <c r="K233">
        <v>30</v>
      </c>
    </row>
    <row r="234" spans="1:11" x14ac:dyDescent="0.25">
      <c r="A234" t="s">
        <v>462</v>
      </c>
      <c r="B234" t="s">
        <v>555</v>
      </c>
      <c r="C234">
        <v>8</v>
      </c>
      <c r="D234" t="s">
        <v>577</v>
      </c>
      <c r="E234" s="2">
        <f>ROUNDDOWN(SUM($C$3:$C233)/8,0)</f>
        <v>327</v>
      </c>
      <c r="F234" s="2">
        <f>ROUNDUP((SUM($C$3:$C234)/8-1),0)</f>
        <v>327</v>
      </c>
      <c r="G234" t="s">
        <v>264</v>
      </c>
      <c r="H234" s="2">
        <v>-4</v>
      </c>
      <c r="I234" s="2">
        <v>-10</v>
      </c>
      <c r="J234" s="2">
        <v>-10</v>
      </c>
      <c r="K234" s="2">
        <v>-10</v>
      </c>
    </row>
    <row r="235" spans="1:11" x14ac:dyDescent="0.25">
      <c r="B235" t="s">
        <v>556</v>
      </c>
      <c r="C235">
        <v>8</v>
      </c>
      <c r="D235" t="s">
        <v>576</v>
      </c>
      <c r="E235" s="2">
        <f>ROUNDDOWN(SUM($C$3:$C234)/8,0)</f>
        <v>328</v>
      </c>
      <c r="F235" s="2">
        <f>ROUNDUP((SUM($C$3:$C235)/8-1),0)</f>
        <v>328</v>
      </c>
      <c r="G235" t="s">
        <v>264</v>
      </c>
      <c r="H235" s="2">
        <v>-6</v>
      </c>
      <c r="I235" s="2">
        <v>-7</v>
      </c>
      <c r="J235" s="2">
        <v>-7</v>
      </c>
      <c r="K235" s="2">
        <v>-7</v>
      </c>
    </row>
    <row r="236" spans="1:11" x14ac:dyDescent="0.25">
      <c r="B236" t="s">
        <v>560</v>
      </c>
      <c r="C236">
        <v>8</v>
      </c>
      <c r="D236" t="s">
        <v>463</v>
      </c>
      <c r="E236" s="2">
        <f>ROUNDDOWN(SUM($C$3:$C235)/8,0)</f>
        <v>329</v>
      </c>
      <c r="F236" s="2">
        <f>ROUNDUP((SUM($C$3:$C236)/8-1),0)</f>
        <v>329</v>
      </c>
      <c r="G236" t="s">
        <v>464</v>
      </c>
      <c r="H236" s="2">
        <v>13</v>
      </c>
      <c r="I236" s="2">
        <v>13</v>
      </c>
      <c r="J236" s="2">
        <v>13</v>
      </c>
      <c r="K236" s="2">
        <v>13</v>
      </c>
    </row>
    <row r="237" spans="1:11" x14ac:dyDescent="0.25">
      <c r="B237" t="s">
        <v>557</v>
      </c>
      <c r="C237">
        <v>8</v>
      </c>
      <c r="D237" t="s">
        <v>465</v>
      </c>
      <c r="E237" s="2">
        <f>ROUNDDOWN(SUM($C$3:$C236)/8,0)</f>
        <v>330</v>
      </c>
      <c r="F237" s="2">
        <f>ROUNDUP((SUM($C$3:$C237)/8-1),0)</f>
        <v>330</v>
      </c>
      <c r="G237" t="s">
        <v>264</v>
      </c>
      <c r="H237" s="2">
        <v>68</v>
      </c>
      <c r="I237" s="2">
        <v>65</v>
      </c>
      <c r="J237" s="2">
        <v>66</v>
      </c>
      <c r="K237" s="2">
        <v>67</v>
      </c>
    </row>
    <row r="238" spans="1:11" x14ac:dyDescent="0.25">
      <c r="B238" s="1" t="s">
        <v>558</v>
      </c>
      <c r="C238">
        <v>8</v>
      </c>
      <c r="D238" t="s">
        <v>466</v>
      </c>
      <c r="E238" s="2">
        <f>ROUNDDOWN(SUM($C$3:$C237)/8,0)</f>
        <v>331</v>
      </c>
      <c r="F238" s="2">
        <f>ROUNDUP((SUM($C$3:$C238)/8-1),0)</f>
        <v>331</v>
      </c>
      <c r="G238" t="s">
        <v>264</v>
      </c>
      <c r="H238" s="2">
        <v>48</v>
      </c>
      <c r="I238" s="2">
        <v>47</v>
      </c>
      <c r="J238" s="2">
        <v>48</v>
      </c>
      <c r="K238" s="2">
        <v>48</v>
      </c>
    </row>
    <row r="239" spans="1:11" x14ac:dyDescent="0.25">
      <c r="B239" t="s">
        <v>559</v>
      </c>
      <c r="C239">
        <v>8</v>
      </c>
      <c r="D239" t="s">
        <v>467</v>
      </c>
      <c r="E239" s="2">
        <f>ROUNDDOWN(SUM($C$3:$C238)/8,0)</f>
        <v>332</v>
      </c>
      <c r="F239" s="2">
        <f>ROUNDUP((SUM($C$3:$C239)/8-1),0)</f>
        <v>332</v>
      </c>
      <c r="G239" t="s">
        <v>264</v>
      </c>
      <c r="H239" s="2">
        <v>15</v>
      </c>
      <c r="I239" s="2">
        <v>14</v>
      </c>
      <c r="J239" s="2">
        <v>13</v>
      </c>
      <c r="K239" s="2">
        <v>13</v>
      </c>
    </row>
    <row r="240" spans="1:11" x14ac:dyDescent="0.25">
      <c r="B240" t="s">
        <v>561</v>
      </c>
      <c r="C240">
        <v>8</v>
      </c>
      <c r="D240" t="s">
        <v>468</v>
      </c>
      <c r="E240" s="2">
        <f>ROUNDDOWN(SUM($C$3:$C239)/8,0)</f>
        <v>333</v>
      </c>
      <c r="F240" s="2">
        <f>ROUNDUP((SUM($C$3:$C240)/8-1),0)</f>
        <v>333</v>
      </c>
      <c r="G240" t="s">
        <v>464</v>
      </c>
      <c r="H240" s="2">
        <v>13</v>
      </c>
      <c r="I240" s="2">
        <v>13</v>
      </c>
      <c r="J240" s="2">
        <v>13</v>
      </c>
      <c r="K240" s="2">
        <v>38</v>
      </c>
    </row>
    <row r="241" spans="1:11" x14ac:dyDescent="0.25">
      <c r="A241" t="s">
        <v>469</v>
      </c>
      <c r="B241" t="s">
        <v>562</v>
      </c>
      <c r="C241">
        <v>8</v>
      </c>
      <c r="D241" t="s">
        <v>578</v>
      </c>
      <c r="E241" s="2">
        <f>ROUNDDOWN(SUM($C$3:$C240)/8,0)</f>
        <v>334</v>
      </c>
      <c r="F241" s="2">
        <f>ROUNDUP((SUM($C$3:$C241)/8-1),0)</f>
        <v>334</v>
      </c>
      <c r="G241" t="s">
        <v>264</v>
      </c>
      <c r="H241">
        <v>0</v>
      </c>
      <c r="I241">
        <v>15</v>
      </c>
      <c r="J241">
        <v>15</v>
      </c>
      <c r="K241">
        <v>15</v>
      </c>
    </row>
    <row r="242" spans="1:11" x14ac:dyDescent="0.25">
      <c r="B242" t="s">
        <v>563</v>
      </c>
      <c r="C242">
        <v>8</v>
      </c>
      <c r="D242" t="s">
        <v>579</v>
      </c>
      <c r="E242" s="2">
        <f>ROUNDDOWN(SUM($C$3:$C241)/8,0)</f>
        <v>335</v>
      </c>
      <c r="F242" s="2">
        <f>ROUNDUP((SUM($C$3:$C242)/8-1),0)</f>
        <v>335</v>
      </c>
      <c r="G242" t="s">
        <v>264</v>
      </c>
      <c r="H242">
        <v>0</v>
      </c>
      <c r="I242">
        <v>10</v>
      </c>
      <c r="J242">
        <v>10</v>
      </c>
      <c r="K242">
        <v>10</v>
      </c>
    </row>
    <row r="243" spans="1:11" x14ac:dyDescent="0.25">
      <c r="B243" t="s">
        <v>470</v>
      </c>
      <c r="C243">
        <v>8</v>
      </c>
      <c r="D243" t="s">
        <v>471</v>
      </c>
      <c r="E243" s="2">
        <f>ROUNDDOWN(SUM($C$3:$C242)/8,0)</f>
        <v>336</v>
      </c>
      <c r="F243" s="2">
        <f>ROUNDUP((SUM($C$3:$C243)/8-1),0)</f>
        <v>336</v>
      </c>
      <c r="G243" t="s">
        <v>234</v>
      </c>
      <c r="H243">
        <v>75</v>
      </c>
      <c r="I243">
        <v>75</v>
      </c>
      <c r="J243">
        <v>75</v>
      </c>
      <c r="K243">
        <v>75</v>
      </c>
    </row>
    <row r="244" spans="1:11" x14ac:dyDescent="0.25">
      <c r="B244" t="s">
        <v>564</v>
      </c>
      <c r="C244">
        <v>8</v>
      </c>
      <c r="D244" t="s">
        <v>580</v>
      </c>
      <c r="E244" s="2">
        <f>ROUNDDOWN(SUM($C$3:$C243)/8,0)</f>
        <v>337</v>
      </c>
      <c r="F244" s="2">
        <f>ROUNDUP((SUM($C$3:$C244)/8-1),0)</f>
        <v>337</v>
      </c>
      <c r="G244" t="s">
        <v>264</v>
      </c>
      <c r="H244">
        <v>0</v>
      </c>
      <c r="I244">
        <v>0</v>
      </c>
      <c r="J244">
        <v>0</v>
      </c>
      <c r="K244">
        <v>0</v>
      </c>
    </row>
    <row r="245" spans="1:11" x14ac:dyDescent="0.25">
      <c r="B245" t="s">
        <v>472</v>
      </c>
      <c r="C245">
        <v>8</v>
      </c>
      <c r="D245" t="s">
        <v>473</v>
      </c>
      <c r="E245" s="2">
        <f>ROUNDDOWN(SUM($C$3:$C244)/8,0)</f>
        <v>338</v>
      </c>
      <c r="F245" s="2">
        <f>ROUNDUP((SUM($C$3:$C245)/8-1),0)</f>
        <v>338</v>
      </c>
      <c r="G245" t="s">
        <v>234</v>
      </c>
      <c r="H245">
        <v>130</v>
      </c>
      <c r="I245">
        <v>130</v>
      </c>
      <c r="J245">
        <v>130</v>
      </c>
      <c r="K245">
        <v>130</v>
      </c>
    </row>
    <row r="246" spans="1:11" x14ac:dyDescent="0.25">
      <c r="B246" t="s">
        <v>565</v>
      </c>
      <c r="C246">
        <v>8</v>
      </c>
      <c r="D246" t="s">
        <v>581</v>
      </c>
      <c r="E246" s="2">
        <f>ROUNDDOWN(SUM($C$3:$C245)/8,0)</f>
        <v>339</v>
      </c>
      <c r="F246" s="2">
        <f>ROUNDUP((SUM($C$3:$C246)/8-1),0)</f>
        <v>339</v>
      </c>
      <c r="G246" t="s">
        <v>264</v>
      </c>
      <c r="H246">
        <v>0</v>
      </c>
      <c r="I246">
        <v>0</v>
      </c>
      <c r="J246">
        <v>0</v>
      </c>
      <c r="K246">
        <v>0</v>
      </c>
    </row>
    <row r="247" spans="1:11" x14ac:dyDescent="0.25">
      <c r="B247" t="s">
        <v>474</v>
      </c>
      <c r="C247">
        <v>8</v>
      </c>
      <c r="D247" t="s">
        <v>475</v>
      </c>
      <c r="E247" s="2">
        <f>ROUNDDOWN(SUM($C$3:$C246)/8,0)</f>
        <v>340</v>
      </c>
      <c r="F247" s="2">
        <f>ROUNDUP((SUM($C$3:$C247)/8-1),0)</f>
        <v>340</v>
      </c>
      <c r="G247" t="s">
        <v>234</v>
      </c>
      <c r="H247">
        <v>130</v>
      </c>
      <c r="I247">
        <v>130</v>
      </c>
      <c r="J247">
        <v>130</v>
      </c>
      <c r="K247">
        <v>130</v>
      </c>
    </row>
    <row r="248" spans="1:11" x14ac:dyDescent="0.25">
      <c r="B248" t="s">
        <v>566</v>
      </c>
      <c r="C248">
        <v>8</v>
      </c>
      <c r="D248" t="s">
        <v>582</v>
      </c>
      <c r="E248" s="2">
        <f>ROUNDDOWN(SUM($C$3:$C247)/8,0)</f>
        <v>341</v>
      </c>
      <c r="F248" s="2">
        <f>ROUNDUP((SUM($C$3:$C248)/8-1),0)</f>
        <v>341</v>
      </c>
      <c r="G248" t="s">
        <v>264</v>
      </c>
      <c r="H248">
        <v>-6</v>
      </c>
      <c r="I248">
        <v>-6</v>
      </c>
      <c r="J248">
        <v>-6</v>
      </c>
      <c r="K248">
        <v>-6</v>
      </c>
    </row>
    <row r="249" spans="1:11" x14ac:dyDescent="0.25">
      <c r="B249" t="s">
        <v>570</v>
      </c>
      <c r="C249">
        <v>8</v>
      </c>
      <c r="D249" t="s">
        <v>583</v>
      </c>
      <c r="E249" s="2">
        <f>ROUNDDOWN(SUM($C$3:$C248)/8,0)</f>
        <v>342</v>
      </c>
      <c r="F249" s="2">
        <f>ROUNDUP((SUM($C$3:$C249)/8-1),0)</f>
        <v>342</v>
      </c>
      <c r="G249" t="s">
        <v>264</v>
      </c>
      <c r="H249">
        <v>0</v>
      </c>
      <c r="I249">
        <v>-1</v>
      </c>
      <c r="J249">
        <v>-1</v>
      </c>
      <c r="K249">
        <v>0</v>
      </c>
    </row>
    <row r="250" spans="1:11" x14ac:dyDescent="0.25">
      <c r="B250" t="s">
        <v>476</v>
      </c>
      <c r="C250">
        <v>8</v>
      </c>
      <c r="D250" t="s">
        <v>477</v>
      </c>
      <c r="E250" s="2">
        <f>ROUNDDOWN(SUM($C$3:$C249)/8,0)</f>
        <v>343</v>
      </c>
      <c r="F250" s="2">
        <f>ROUNDUP((SUM($C$3:$C250)/8-1),0)</f>
        <v>343</v>
      </c>
      <c r="G250" t="s">
        <v>234</v>
      </c>
      <c r="H250">
        <v>130</v>
      </c>
      <c r="I250">
        <v>130</v>
      </c>
      <c r="J250">
        <v>130</v>
      </c>
      <c r="K250">
        <v>130</v>
      </c>
    </row>
    <row r="251" spans="1:11" x14ac:dyDescent="0.25">
      <c r="B251" t="s">
        <v>567</v>
      </c>
      <c r="C251">
        <v>8</v>
      </c>
      <c r="D251" t="s">
        <v>584</v>
      </c>
      <c r="E251" s="2">
        <f>ROUNDDOWN(SUM($C$3:$C250)/8,0)</f>
        <v>344</v>
      </c>
      <c r="F251" s="2">
        <f>ROUNDUP((SUM($C$3:$C251)/8-1),0)</f>
        <v>344</v>
      </c>
      <c r="G251" t="s">
        <v>264</v>
      </c>
      <c r="H251">
        <v>-5</v>
      </c>
      <c r="I251">
        <v>-5</v>
      </c>
      <c r="J251">
        <v>-5</v>
      </c>
      <c r="K251">
        <v>-5</v>
      </c>
    </row>
    <row r="252" spans="1:11" x14ac:dyDescent="0.25">
      <c r="B252" t="s">
        <v>571</v>
      </c>
      <c r="C252">
        <v>8</v>
      </c>
      <c r="D252" t="s">
        <v>585</v>
      </c>
      <c r="E252" s="2">
        <f>ROUNDDOWN(SUM($C$3:$C251)/8,0)</f>
        <v>345</v>
      </c>
      <c r="F252" s="2">
        <f>ROUNDUP((SUM($C$3:$C252)/8-1),0)</f>
        <v>345</v>
      </c>
      <c r="G252" t="s">
        <v>264</v>
      </c>
      <c r="H252">
        <v>1</v>
      </c>
      <c r="I252">
        <v>0</v>
      </c>
      <c r="J252">
        <v>0</v>
      </c>
      <c r="K252">
        <v>1</v>
      </c>
    </row>
    <row r="253" spans="1:11" x14ac:dyDescent="0.25">
      <c r="B253" t="s">
        <v>478</v>
      </c>
      <c r="C253">
        <v>8</v>
      </c>
      <c r="D253" t="s">
        <v>479</v>
      </c>
      <c r="E253" s="2">
        <f>ROUNDDOWN(SUM($C$3:$C252)/8,0)</f>
        <v>346</v>
      </c>
      <c r="F253" s="2">
        <f>ROUNDUP((SUM($C$3:$C253)/8-1),0)</f>
        <v>346</v>
      </c>
      <c r="G253" t="s">
        <v>234</v>
      </c>
      <c r="H253">
        <v>130</v>
      </c>
      <c r="I253">
        <v>130</v>
      </c>
      <c r="J253">
        <v>130</v>
      </c>
      <c r="K253">
        <v>130</v>
      </c>
    </row>
    <row r="254" spans="1:11" x14ac:dyDescent="0.25">
      <c r="B254" t="s">
        <v>568</v>
      </c>
      <c r="C254">
        <v>8</v>
      </c>
      <c r="D254" t="s">
        <v>586</v>
      </c>
      <c r="E254" s="2">
        <f>ROUNDDOWN(SUM($C$3:$C253)/8,0)</f>
        <v>347</v>
      </c>
      <c r="F254" s="2">
        <f>ROUNDUP((SUM($C$3:$C254)/8-1),0)</f>
        <v>347</v>
      </c>
      <c r="G254" t="s">
        <v>264</v>
      </c>
      <c r="H254">
        <v>-4</v>
      </c>
      <c r="I254">
        <v>-4</v>
      </c>
      <c r="J254">
        <v>-4</v>
      </c>
      <c r="K254">
        <v>-4</v>
      </c>
    </row>
    <row r="255" spans="1:11" x14ac:dyDescent="0.25">
      <c r="B255" t="s">
        <v>572</v>
      </c>
      <c r="C255">
        <v>8</v>
      </c>
      <c r="D255" t="s">
        <v>587</v>
      </c>
      <c r="E255" s="2">
        <f>ROUNDDOWN(SUM($C$3:$C254)/8,0)</f>
        <v>348</v>
      </c>
      <c r="F255" s="2">
        <f>ROUNDUP((SUM($C$3:$C255)/8-1),0)</f>
        <v>348</v>
      </c>
      <c r="G255" t="s">
        <v>264</v>
      </c>
      <c r="H255">
        <v>2</v>
      </c>
      <c r="I255">
        <v>1</v>
      </c>
      <c r="J255">
        <v>1</v>
      </c>
      <c r="K255">
        <v>2</v>
      </c>
    </row>
    <row r="256" spans="1:11" x14ac:dyDescent="0.25">
      <c r="B256" t="s">
        <v>480</v>
      </c>
      <c r="C256">
        <v>8</v>
      </c>
      <c r="D256" t="s">
        <v>481</v>
      </c>
      <c r="E256" s="2">
        <f>ROUNDDOWN(SUM($C$3:$C255)/8,0)</f>
        <v>349</v>
      </c>
      <c r="F256" s="2">
        <f>ROUNDUP((SUM($C$3:$C256)/8-1),0)</f>
        <v>349</v>
      </c>
      <c r="G256" t="s">
        <v>234</v>
      </c>
      <c r="H256">
        <v>130</v>
      </c>
      <c r="I256">
        <v>130</v>
      </c>
      <c r="J256">
        <v>130</v>
      </c>
      <c r="K256">
        <v>130</v>
      </c>
    </row>
    <row r="257" spans="1:11" x14ac:dyDescent="0.25">
      <c r="B257" t="s">
        <v>569</v>
      </c>
      <c r="C257">
        <v>8</v>
      </c>
      <c r="D257" t="s">
        <v>588</v>
      </c>
      <c r="E257" s="2">
        <f>ROUNDDOWN(SUM($C$3:$C256)/8,0)</f>
        <v>350</v>
      </c>
      <c r="F257" s="2">
        <f>ROUNDUP((SUM($C$3:$C257)/8-1),0)</f>
        <v>350</v>
      </c>
      <c r="G257" t="s">
        <v>264</v>
      </c>
      <c r="H257">
        <v>-2</v>
      </c>
      <c r="I257">
        <v>-2</v>
      </c>
      <c r="J257">
        <v>-2</v>
      </c>
      <c r="K257">
        <v>-2</v>
      </c>
    </row>
    <row r="258" spans="1:11" x14ac:dyDescent="0.25">
      <c r="B258" t="s">
        <v>573</v>
      </c>
      <c r="C258">
        <v>8</v>
      </c>
      <c r="D258" t="s">
        <v>589</v>
      </c>
      <c r="E258" s="2">
        <f>ROUNDDOWN(SUM($C$3:$C257)/8,0)</f>
        <v>351</v>
      </c>
      <c r="F258" s="2">
        <f>ROUNDUP((SUM($C$3:$C258)/8-1),0)</f>
        <v>351</v>
      </c>
      <c r="G258" t="s">
        <v>264</v>
      </c>
      <c r="H258">
        <v>3</v>
      </c>
      <c r="I258">
        <v>2</v>
      </c>
      <c r="J258">
        <v>2</v>
      </c>
      <c r="K258">
        <v>3</v>
      </c>
    </row>
    <row r="259" spans="1:11" x14ac:dyDescent="0.25">
      <c r="B259" t="s">
        <v>482</v>
      </c>
      <c r="C259">
        <v>8</v>
      </c>
      <c r="D259" t="s">
        <v>483</v>
      </c>
      <c r="E259" s="2">
        <f>ROUNDDOWN(SUM($C$3:$C258)/8,0)</f>
        <v>352</v>
      </c>
      <c r="F259" s="2">
        <f>ROUNDUP((SUM($C$3:$C259)/8-1),0)</f>
        <v>352</v>
      </c>
      <c r="G259" t="s">
        <v>234</v>
      </c>
      <c r="H259">
        <v>130</v>
      </c>
      <c r="I259">
        <v>130</v>
      </c>
      <c r="J259">
        <v>130</v>
      </c>
      <c r="K259">
        <v>130</v>
      </c>
    </row>
    <row r="260" spans="1:11" x14ac:dyDescent="0.25">
      <c r="A260" t="s">
        <v>484</v>
      </c>
      <c r="B260" t="s">
        <v>485</v>
      </c>
      <c r="C260">
        <v>8</v>
      </c>
      <c r="D260" t="s">
        <v>486</v>
      </c>
      <c r="E260" s="2">
        <f>ROUNDDOWN(SUM($C$3:$C259)/8,0)</f>
        <v>353</v>
      </c>
      <c r="F260" s="2">
        <f>ROUNDUP((SUM($C$3:$C260)/8-1),0)</f>
        <v>353</v>
      </c>
      <c r="G260" t="s">
        <v>264</v>
      </c>
      <c r="H260">
        <v>-5</v>
      </c>
      <c r="I260">
        <v>-5</v>
      </c>
      <c r="J260">
        <v>-5</v>
      </c>
      <c r="K260">
        <v>-5</v>
      </c>
    </row>
    <row r="261" spans="1:11" x14ac:dyDescent="0.25">
      <c r="B261" t="s">
        <v>487</v>
      </c>
      <c r="C261">
        <v>16</v>
      </c>
      <c r="D261" t="s">
        <v>595</v>
      </c>
      <c r="E261" s="2">
        <f>ROUNDDOWN(SUM($C$3:$C260)/8,0)</f>
        <v>354</v>
      </c>
      <c r="F261" s="2">
        <f>ROUNDUP((SUM($C$3:$C261)/8-1),0)</f>
        <v>355</v>
      </c>
      <c r="G261" t="s">
        <v>234</v>
      </c>
      <c r="H261">
        <v>640</v>
      </c>
      <c r="I261">
        <v>640</v>
      </c>
      <c r="J261">
        <v>640</v>
      </c>
      <c r="K261">
        <v>640</v>
      </c>
    </row>
    <row r="262" spans="1:11" x14ac:dyDescent="0.25">
      <c r="B262" t="s">
        <v>161</v>
      </c>
      <c r="C262">
        <v>8</v>
      </c>
      <c r="D262" t="s">
        <v>161</v>
      </c>
      <c r="E262" s="2">
        <f>ROUNDDOWN(SUM($C$3:$C261)/8,0)</f>
        <v>356</v>
      </c>
      <c r="F262" s="2">
        <f>ROUNDUP((SUM($C$3:$C262)/8-1),0)</f>
        <v>356</v>
      </c>
      <c r="H262">
        <v>0</v>
      </c>
      <c r="I262">
        <v>0</v>
      </c>
      <c r="J262">
        <v>0</v>
      </c>
      <c r="K262">
        <v>0</v>
      </c>
    </row>
    <row r="263" spans="1:11" x14ac:dyDescent="0.25">
      <c r="A263" t="s">
        <v>518</v>
      </c>
      <c r="B263" t="s">
        <v>520</v>
      </c>
      <c r="C263">
        <v>8</v>
      </c>
      <c r="D263" t="s">
        <v>519</v>
      </c>
      <c r="E263" s="2">
        <f>ROUNDDOWN(SUM($C$3:$C262)/8,0)</f>
        <v>357</v>
      </c>
      <c r="F263" s="2">
        <f>ROUNDUP((SUM($C$3:$C263)/8-1),0)</f>
        <v>357</v>
      </c>
      <c r="H263" s="5">
        <v>3</v>
      </c>
      <c r="I263" s="5">
        <v>3</v>
      </c>
      <c r="J263" s="5">
        <v>3</v>
      </c>
      <c r="K263" s="5">
        <v>3</v>
      </c>
    </row>
    <row r="264" spans="1:11" x14ac:dyDescent="0.25">
      <c r="B264" t="s">
        <v>521</v>
      </c>
      <c r="C264">
        <v>8</v>
      </c>
      <c r="D264" t="s">
        <v>522</v>
      </c>
      <c r="E264" s="2">
        <f>ROUNDDOWN(SUM($C$3:$C263)/8,0)</f>
        <v>358</v>
      </c>
      <c r="F264" s="2">
        <f>ROUNDUP((SUM($C$3:$C264)/8-1),0)</f>
        <v>358</v>
      </c>
      <c r="H264" s="5">
        <v>1</v>
      </c>
      <c r="I264" s="5">
        <v>1</v>
      </c>
      <c r="J264" s="5">
        <v>1</v>
      </c>
      <c r="K264" s="5">
        <v>1</v>
      </c>
    </row>
    <row r="265" spans="1:11" x14ac:dyDescent="0.25">
      <c r="B265" t="s">
        <v>523</v>
      </c>
      <c r="C265">
        <v>8</v>
      </c>
      <c r="D265" t="s">
        <v>522</v>
      </c>
      <c r="E265" s="2">
        <f>ROUNDDOWN(SUM($C$3:$C264)/8,0)</f>
        <v>359</v>
      </c>
      <c r="F265" s="2">
        <f>ROUNDUP((SUM($C$3:$C265)/8-1),0)</f>
        <v>359</v>
      </c>
      <c r="H265" s="5">
        <v>1</v>
      </c>
      <c r="I265" s="5">
        <v>1</v>
      </c>
      <c r="J265" s="5">
        <v>1</v>
      </c>
      <c r="K265" s="5">
        <v>1</v>
      </c>
    </row>
    <row r="266" spans="1:11" x14ac:dyDescent="0.25">
      <c r="B266" t="s">
        <v>524</v>
      </c>
      <c r="C266">
        <v>8</v>
      </c>
      <c r="D266" t="s">
        <v>525</v>
      </c>
      <c r="E266" s="2">
        <f>ROUNDDOWN(SUM($C$3:$C265)/8,0)</f>
        <v>360</v>
      </c>
      <c r="F266" s="2">
        <f>ROUNDUP((SUM($C$3:$C266)/8-1),0)</f>
        <v>360</v>
      </c>
      <c r="H266" s="5">
        <v>2</v>
      </c>
      <c r="I266" s="5">
        <v>2</v>
      </c>
      <c r="J266" s="5">
        <v>2</v>
      </c>
      <c r="K266" s="5">
        <v>2</v>
      </c>
    </row>
    <row r="267" spans="1:11" x14ac:dyDescent="0.25">
      <c r="B267" t="s">
        <v>526</v>
      </c>
      <c r="C267">
        <v>32</v>
      </c>
      <c r="D267" t="s">
        <v>161</v>
      </c>
      <c r="E267" s="2">
        <f>ROUNDDOWN(SUM($C$3:$C266)/8,0)</f>
        <v>361</v>
      </c>
      <c r="F267" s="2">
        <f>ROUNDUP((SUM($C$3:$C267)/8-1),0)</f>
        <v>364</v>
      </c>
      <c r="H267" s="5">
        <v>0</v>
      </c>
      <c r="I267" s="5">
        <v>0</v>
      </c>
      <c r="J267" s="5">
        <v>0</v>
      </c>
      <c r="K267" s="5">
        <v>0</v>
      </c>
    </row>
    <row r="268" spans="1:11" x14ac:dyDescent="0.25">
      <c r="A268" t="s">
        <v>488</v>
      </c>
      <c r="B268" t="s">
        <v>489</v>
      </c>
      <c r="C268">
        <v>8</v>
      </c>
      <c r="D268" t="s">
        <v>490</v>
      </c>
      <c r="E268" s="2">
        <f>ROUNDDOWN(SUM($C$3:$C267)/8,0)</f>
        <v>365</v>
      </c>
      <c r="F268" s="2">
        <f>ROUNDUP((SUM($C$3:$C268)/8-1),0)</f>
        <v>365</v>
      </c>
      <c r="G268" t="s">
        <v>491</v>
      </c>
      <c r="H268">
        <v>254</v>
      </c>
      <c r="I268">
        <v>254</v>
      </c>
      <c r="J268">
        <v>254</v>
      </c>
      <c r="K268">
        <v>254</v>
      </c>
    </row>
    <row r="269" spans="1:11" x14ac:dyDescent="0.25">
      <c r="B269" t="s">
        <v>492</v>
      </c>
      <c r="C269">
        <v>8</v>
      </c>
      <c r="D269" t="s">
        <v>493</v>
      </c>
      <c r="E269" s="2">
        <f>ROUNDDOWN(SUM($C$3:$C268)/8,0)</f>
        <v>366</v>
      </c>
      <c r="F269" s="2">
        <f>ROUNDUP((SUM($C$3:$C269)/8-1),0)</f>
        <v>366</v>
      </c>
      <c r="H269">
        <v>5</v>
      </c>
      <c r="I269">
        <v>5</v>
      </c>
      <c r="J269">
        <v>5</v>
      </c>
      <c r="K269">
        <v>5</v>
      </c>
    </row>
    <row r="270" spans="1:11" x14ac:dyDescent="0.25">
      <c r="B270" t="s">
        <v>494</v>
      </c>
      <c r="C270">
        <v>8</v>
      </c>
      <c r="D270" t="s">
        <v>495</v>
      </c>
      <c r="E270" s="2">
        <f>ROUNDDOWN(SUM($C$3:$C269)/8,0)</f>
        <v>367</v>
      </c>
      <c r="F270" s="2">
        <f>ROUNDUP((SUM($C$3:$C270)/8-1),0)</f>
        <v>367</v>
      </c>
      <c r="H270">
        <v>1</v>
      </c>
      <c r="I270">
        <v>1</v>
      </c>
      <c r="J270">
        <v>1</v>
      </c>
      <c r="K270">
        <v>1</v>
      </c>
    </row>
    <row r="271" spans="1:11" x14ac:dyDescent="0.25">
      <c r="B271" t="s">
        <v>496</v>
      </c>
      <c r="C271">
        <v>8</v>
      </c>
      <c r="D271" t="s">
        <v>497</v>
      </c>
      <c r="E271" s="2">
        <f>ROUNDDOWN(SUM($C$3:$C270)/8,0)</f>
        <v>368</v>
      </c>
      <c r="F271" s="2">
        <f>ROUNDUP((SUM($C$3:$C271)/8-1),0)</f>
        <v>368</v>
      </c>
      <c r="G271" t="s">
        <v>261</v>
      </c>
      <c r="H271">
        <v>-20</v>
      </c>
      <c r="I271">
        <v>-20</v>
      </c>
      <c r="J271">
        <v>-20</v>
      </c>
      <c r="K271">
        <v>-20</v>
      </c>
    </row>
    <row r="272" spans="1:11" x14ac:dyDescent="0.25">
      <c r="B272" t="s">
        <v>498</v>
      </c>
      <c r="C272">
        <v>8</v>
      </c>
      <c r="D272" t="s">
        <v>499</v>
      </c>
      <c r="E272" s="2">
        <f>ROUNDDOWN(SUM($C$3:$C271)/8,0)</f>
        <v>369</v>
      </c>
      <c r="F272" s="2">
        <f>ROUNDUP((SUM($C$3:$C272)/8-1),0)</f>
        <v>369</v>
      </c>
      <c r="G272" t="s">
        <v>261</v>
      </c>
      <c r="H272">
        <v>100</v>
      </c>
      <c r="I272">
        <v>100</v>
      </c>
      <c r="J272">
        <v>100</v>
      </c>
      <c r="K272">
        <v>100</v>
      </c>
    </row>
    <row r="273" spans="2:11" x14ac:dyDescent="0.25">
      <c r="B273" t="s">
        <v>527</v>
      </c>
      <c r="C273">
        <v>16</v>
      </c>
      <c r="D273" t="s">
        <v>528</v>
      </c>
      <c r="E273" s="2">
        <f>ROUNDDOWN(SUM($C$3:$C272)/8,0)</f>
        <v>370</v>
      </c>
      <c r="F273" s="2">
        <f>ROUNDUP((SUM($C$3:$C273)/8-1),0)</f>
        <v>371</v>
      </c>
      <c r="H273">
        <v>118</v>
      </c>
      <c r="I273">
        <v>118</v>
      </c>
      <c r="J273">
        <v>118</v>
      </c>
      <c r="K273">
        <v>118</v>
      </c>
    </row>
    <row r="274" spans="2:11" x14ac:dyDescent="0.25">
      <c r="B274" t="s">
        <v>529</v>
      </c>
      <c r="C274">
        <v>16</v>
      </c>
      <c r="D274" t="s">
        <v>528</v>
      </c>
      <c r="E274" s="2">
        <f>ROUNDDOWN(SUM($C$3:$C273)/8,0)</f>
        <v>372</v>
      </c>
      <c r="F274" s="2">
        <f>ROUNDUP((SUM($C$3:$C274)/8-1),0)</f>
        <v>373</v>
      </c>
      <c r="H274">
        <v>146</v>
      </c>
      <c r="I274">
        <v>146</v>
      </c>
      <c r="J274">
        <v>146</v>
      </c>
      <c r="K274">
        <v>146</v>
      </c>
    </row>
    <row r="275" spans="2:11" x14ac:dyDescent="0.25">
      <c r="B275" t="s">
        <v>530</v>
      </c>
      <c r="C275">
        <v>16</v>
      </c>
      <c r="D275" t="s">
        <v>528</v>
      </c>
      <c r="E275" s="2">
        <f>ROUNDDOWN(SUM($C$3:$C274)/8,0)</f>
        <v>374</v>
      </c>
      <c r="F275" s="2">
        <f>ROUNDUP((SUM($C$3:$C275)/8-1),0)</f>
        <v>375</v>
      </c>
      <c r="H275">
        <v>147</v>
      </c>
      <c r="I275">
        <v>147</v>
      </c>
      <c r="J275">
        <v>147</v>
      </c>
      <c r="K275">
        <v>147</v>
      </c>
    </row>
    <row r="276" spans="2:11" x14ac:dyDescent="0.25">
      <c r="B276" t="s">
        <v>531</v>
      </c>
      <c r="C276">
        <v>16</v>
      </c>
      <c r="D276" t="s">
        <v>528</v>
      </c>
      <c r="E276" s="2">
        <f>ROUNDDOWN(SUM($C$3:$C275)/8,0)</f>
        <v>376</v>
      </c>
      <c r="F276" s="2">
        <f>ROUNDUP((SUM($C$3:$C276)/8-1),0)</f>
        <v>377</v>
      </c>
      <c r="H276">
        <v>189</v>
      </c>
      <c r="I276">
        <v>189</v>
      </c>
      <c r="J276">
        <v>189</v>
      </c>
      <c r="K276">
        <v>189</v>
      </c>
    </row>
    <row r="277" spans="2:11" x14ac:dyDescent="0.25">
      <c r="B277" t="s">
        <v>532</v>
      </c>
      <c r="C277">
        <v>16</v>
      </c>
      <c r="D277" t="s">
        <v>528</v>
      </c>
      <c r="E277" s="2">
        <f>ROUNDDOWN(SUM($C$3:$C276)/8,0)</f>
        <v>378</v>
      </c>
      <c r="F277" s="2">
        <f>ROUNDUP((SUM($C$3:$C277)/8-1),0)</f>
        <v>379</v>
      </c>
      <c r="H277">
        <v>191</v>
      </c>
      <c r="I277">
        <v>191</v>
      </c>
      <c r="J277">
        <v>191</v>
      </c>
      <c r="K277">
        <v>191</v>
      </c>
    </row>
    <row r="278" spans="2:11" x14ac:dyDescent="0.25">
      <c r="B278" t="s">
        <v>533</v>
      </c>
      <c r="C278">
        <v>16</v>
      </c>
      <c r="D278" t="s">
        <v>528</v>
      </c>
      <c r="E278" s="2">
        <f>ROUNDDOWN(SUM($C$3:$C277)/8,0)</f>
        <v>380</v>
      </c>
      <c r="F278" s="2">
        <f>ROUNDUP((SUM($C$3:$C278)/8-1),0)</f>
        <v>381</v>
      </c>
      <c r="H278">
        <v>194</v>
      </c>
      <c r="I278">
        <v>194</v>
      </c>
      <c r="J278">
        <v>194</v>
      </c>
      <c r="K278">
        <v>194</v>
      </c>
    </row>
    <row r="279" spans="2:11" x14ac:dyDescent="0.25">
      <c r="B279" t="s">
        <v>534</v>
      </c>
      <c r="C279">
        <v>16</v>
      </c>
      <c r="D279" t="s">
        <v>528</v>
      </c>
      <c r="E279" s="2">
        <f>ROUNDDOWN(SUM($C$3:$C278)/8,0)</f>
        <v>382</v>
      </c>
      <c r="F279" s="2">
        <f>ROUNDUP((SUM($C$3:$C279)/8-1),0)</f>
        <v>383</v>
      </c>
      <c r="H279">
        <v>228</v>
      </c>
      <c r="I279">
        <v>228</v>
      </c>
      <c r="J279">
        <v>228</v>
      </c>
      <c r="K279">
        <v>228</v>
      </c>
    </row>
    <row r="280" spans="2:11" x14ac:dyDescent="0.25">
      <c r="B280" t="s">
        <v>535</v>
      </c>
      <c r="C280">
        <v>16</v>
      </c>
      <c r="D280" t="s">
        <v>528</v>
      </c>
      <c r="E280" s="2">
        <f>ROUNDDOWN(SUM($C$3:$C279)/8,0)</f>
        <v>384</v>
      </c>
      <c r="F280" s="2">
        <f>ROUNDUP((SUM($C$3:$C280)/8-1),0)</f>
        <v>385</v>
      </c>
      <c r="H280">
        <v>229</v>
      </c>
      <c r="I280">
        <v>229</v>
      </c>
      <c r="J280">
        <v>229</v>
      </c>
      <c r="K280">
        <v>229</v>
      </c>
    </row>
    <row r="281" spans="2:11" x14ac:dyDescent="0.25">
      <c r="B281" t="s">
        <v>536</v>
      </c>
      <c r="C281">
        <v>16</v>
      </c>
      <c r="D281" t="s">
        <v>528</v>
      </c>
      <c r="E281" s="2">
        <f>ROUNDDOWN(SUM($C$3:$C280)/8,0)</f>
        <v>386</v>
      </c>
      <c r="F281" s="2">
        <f>ROUNDUP((SUM($C$3:$C281)/8-1),0)</f>
        <v>387</v>
      </c>
      <c r="H281">
        <v>230</v>
      </c>
      <c r="I281">
        <v>230</v>
      </c>
      <c r="J281">
        <v>230</v>
      </c>
      <c r="K281">
        <v>230</v>
      </c>
    </row>
    <row r="282" spans="2:11" x14ac:dyDescent="0.25">
      <c r="B282" t="s">
        <v>537</v>
      </c>
      <c r="C282">
        <v>16</v>
      </c>
      <c r="D282" t="s">
        <v>528</v>
      </c>
      <c r="E282" s="2">
        <f>ROUNDDOWN(SUM($C$3:$C281)/8,0)</f>
        <v>388</v>
      </c>
      <c r="F282" s="2">
        <f>ROUNDUP((SUM($C$3:$C282)/8-1),0)</f>
        <v>389</v>
      </c>
      <c r="H282">
        <v>231</v>
      </c>
      <c r="I282">
        <v>231</v>
      </c>
      <c r="J282">
        <v>231</v>
      </c>
      <c r="K282">
        <v>231</v>
      </c>
    </row>
    <row r="283" spans="2:11" x14ac:dyDescent="0.25">
      <c r="B283" t="s">
        <v>538</v>
      </c>
      <c r="C283">
        <v>16</v>
      </c>
      <c r="D283" t="s">
        <v>528</v>
      </c>
      <c r="E283" s="2">
        <f>ROUNDDOWN(SUM($C$3:$C282)/8,0)</f>
        <v>390</v>
      </c>
      <c r="F283" s="2">
        <f>ROUNDUP((SUM($C$3:$C283)/8-1),0)</f>
        <v>391</v>
      </c>
      <c r="H283">
        <v>232</v>
      </c>
      <c r="I283">
        <v>232</v>
      </c>
      <c r="J283">
        <v>232</v>
      </c>
      <c r="K283">
        <v>232</v>
      </c>
    </row>
    <row r="284" spans="2:11" x14ac:dyDescent="0.25">
      <c r="B284" t="s">
        <v>539</v>
      </c>
      <c r="C284">
        <v>16</v>
      </c>
      <c r="D284" t="s">
        <v>528</v>
      </c>
      <c r="E284" s="2">
        <f>ROUNDDOWN(SUM($C$3:$C283)/8,0)</f>
        <v>392</v>
      </c>
      <c r="F284" s="2">
        <f>ROUNDUP((SUM($C$3:$C284)/8-1),0)</f>
        <v>393</v>
      </c>
      <c r="H284">
        <v>233</v>
      </c>
      <c r="I284">
        <v>233</v>
      </c>
      <c r="J284">
        <v>233</v>
      </c>
      <c r="K284">
        <v>233</v>
      </c>
    </row>
    <row r="285" spans="2:11" x14ac:dyDescent="0.25">
      <c r="B285" t="s">
        <v>540</v>
      </c>
      <c r="C285">
        <v>16</v>
      </c>
      <c r="D285" t="s">
        <v>528</v>
      </c>
      <c r="E285" s="2">
        <f>ROUNDDOWN(SUM($C$3:$C284)/8,0)</f>
        <v>394</v>
      </c>
      <c r="F285" s="2">
        <f>ROUNDUP((SUM($C$3:$C285)/8-1),0)</f>
        <v>395</v>
      </c>
      <c r="H285">
        <v>234</v>
      </c>
      <c r="I285">
        <v>234</v>
      </c>
      <c r="J285">
        <v>234</v>
      </c>
      <c r="K285">
        <v>234</v>
      </c>
    </row>
    <row r="286" spans="2:11" x14ac:dyDescent="0.25">
      <c r="B286" t="s">
        <v>541</v>
      </c>
      <c r="C286">
        <v>16</v>
      </c>
      <c r="D286" t="s">
        <v>528</v>
      </c>
      <c r="E286" s="2">
        <f>ROUNDDOWN(SUM($C$3:$C285)/8,0)</f>
        <v>396</v>
      </c>
      <c r="F286" s="2">
        <f>ROUNDUP((SUM($C$3:$C286)/8-1),0)</f>
        <v>397</v>
      </c>
      <c r="H286">
        <v>236</v>
      </c>
      <c r="I286">
        <v>236</v>
      </c>
      <c r="J286">
        <v>236</v>
      </c>
      <c r="K286">
        <v>236</v>
      </c>
    </row>
    <row r="287" spans="2:11" x14ac:dyDescent="0.25">
      <c r="B287" t="s">
        <v>542</v>
      </c>
      <c r="C287">
        <v>16</v>
      </c>
      <c r="D287" t="s">
        <v>528</v>
      </c>
      <c r="E287" s="2">
        <f>ROUNDDOWN(SUM($C$3:$C286)/8,0)</f>
        <v>398</v>
      </c>
      <c r="F287" s="2">
        <f>ROUNDUP((SUM($C$3:$C287)/8-1),0)</f>
        <v>399</v>
      </c>
      <c r="H287">
        <v>237</v>
      </c>
      <c r="I287">
        <v>237</v>
      </c>
      <c r="J287">
        <v>237</v>
      </c>
      <c r="K287">
        <v>237</v>
      </c>
    </row>
    <row r="288" spans="2:11" x14ac:dyDescent="0.25">
      <c r="B288" t="s">
        <v>543</v>
      </c>
      <c r="C288">
        <v>16</v>
      </c>
      <c r="D288" t="s">
        <v>528</v>
      </c>
      <c r="E288" s="2">
        <f>ROUNDDOWN(SUM($C$3:$C287)/8,0)</f>
        <v>400</v>
      </c>
      <c r="F288" s="2">
        <f>ROUNDUP((SUM($C$3:$C288)/8-1),0)</f>
        <v>401</v>
      </c>
      <c r="H288">
        <v>248</v>
      </c>
      <c r="I288">
        <v>248</v>
      </c>
      <c r="J288">
        <v>248</v>
      </c>
      <c r="K288">
        <v>248</v>
      </c>
    </row>
    <row r="289" spans="1:11" x14ac:dyDescent="0.25">
      <c r="B289" t="s">
        <v>544</v>
      </c>
      <c r="C289">
        <v>16</v>
      </c>
      <c r="D289" t="s">
        <v>528</v>
      </c>
      <c r="E289" s="2">
        <f>ROUNDDOWN(SUM($C$3:$C288)/8,0)</f>
        <v>402</v>
      </c>
      <c r="F289" s="2">
        <f>ROUNDUP((SUM($C$3:$C289)/8-1),0)</f>
        <v>403</v>
      </c>
      <c r="H289">
        <v>249</v>
      </c>
      <c r="I289">
        <v>249</v>
      </c>
      <c r="J289">
        <v>249</v>
      </c>
      <c r="K289">
        <v>249</v>
      </c>
    </row>
    <row r="290" spans="1:11" x14ac:dyDescent="0.25">
      <c r="B290" t="s">
        <v>545</v>
      </c>
      <c r="C290">
        <v>16</v>
      </c>
      <c r="D290" t="s">
        <v>528</v>
      </c>
      <c r="E290" s="2">
        <f>ROUNDDOWN(SUM($C$3:$C289)/8,0)</f>
        <v>404</v>
      </c>
      <c r="F290" s="2">
        <f>ROUNDUP((SUM($C$3:$C290)/8-1),0)</f>
        <v>405</v>
      </c>
      <c r="H290">
        <v>251</v>
      </c>
      <c r="I290">
        <v>251</v>
      </c>
      <c r="J290">
        <v>251</v>
      </c>
      <c r="K290">
        <v>251</v>
      </c>
    </row>
    <row r="291" spans="1:11" x14ac:dyDescent="0.25">
      <c r="B291" t="s">
        <v>546</v>
      </c>
      <c r="C291">
        <v>16</v>
      </c>
      <c r="D291" t="s">
        <v>528</v>
      </c>
      <c r="E291" s="2">
        <f>ROUNDDOWN(SUM($C$3:$C290)/8,0)</f>
        <v>406</v>
      </c>
      <c r="F291" s="2">
        <f>ROUNDUP((SUM($C$3:$C291)/8-1),0)</f>
        <v>407</v>
      </c>
      <c r="H291">
        <v>253</v>
      </c>
      <c r="I291">
        <v>253</v>
      </c>
      <c r="J291">
        <v>253</v>
      </c>
      <c r="K291">
        <v>253</v>
      </c>
    </row>
    <row r="292" spans="1:11" x14ac:dyDescent="0.25">
      <c r="B292" t="s">
        <v>547</v>
      </c>
      <c r="C292">
        <v>16</v>
      </c>
      <c r="D292" t="s">
        <v>528</v>
      </c>
      <c r="E292" s="2">
        <f>ROUNDDOWN(SUM($C$3:$C291)/8,0)</f>
        <v>408</v>
      </c>
      <c r="F292" s="2">
        <f>ROUNDUP((SUM($C$3:$C292)/8-1),0)</f>
        <v>409</v>
      </c>
      <c r="H292">
        <v>254</v>
      </c>
      <c r="I292">
        <v>254</v>
      </c>
      <c r="J292">
        <v>254</v>
      </c>
      <c r="K292">
        <v>254</v>
      </c>
    </row>
    <row r="293" spans="1:11" x14ac:dyDescent="0.25">
      <c r="B293" t="s">
        <v>548</v>
      </c>
      <c r="C293">
        <v>16</v>
      </c>
      <c r="D293" t="s">
        <v>528</v>
      </c>
      <c r="E293" s="2">
        <f>ROUNDDOWN(SUM($C$3:$C292)/8,0)</f>
        <v>410</v>
      </c>
      <c r="F293" s="2">
        <f>ROUNDUP((SUM($C$3:$C293)/8-1),0)</f>
        <v>411</v>
      </c>
      <c r="H293">
        <v>255</v>
      </c>
      <c r="I293">
        <v>255</v>
      </c>
      <c r="J293">
        <v>255</v>
      </c>
      <c r="K293">
        <v>255</v>
      </c>
    </row>
    <row r="294" spans="1:11" x14ac:dyDescent="0.25">
      <c r="B294" t="s">
        <v>549</v>
      </c>
      <c r="C294">
        <v>16</v>
      </c>
      <c r="D294" t="s">
        <v>528</v>
      </c>
      <c r="E294" s="2">
        <f>ROUNDDOWN(SUM($C$3:$C293)/8,0)</f>
        <v>412</v>
      </c>
      <c r="F294" s="2">
        <f>ROUNDUP((SUM($C$3:$C294)/8-1),0)</f>
        <v>413</v>
      </c>
      <c r="H294">
        <v>256</v>
      </c>
      <c r="I294">
        <v>256</v>
      </c>
      <c r="J294">
        <v>256</v>
      </c>
      <c r="K294">
        <v>256</v>
      </c>
    </row>
    <row r="295" spans="1:11" x14ac:dyDescent="0.25">
      <c r="B295" t="s">
        <v>550</v>
      </c>
      <c r="C295">
        <v>16</v>
      </c>
      <c r="D295" t="s">
        <v>528</v>
      </c>
      <c r="E295" s="2">
        <f>ROUNDDOWN(SUM($C$3:$C294)/8,0)</f>
        <v>414</v>
      </c>
      <c r="F295" s="2">
        <f>ROUNDUP((SUM($C$3:$C295)/8-1),0)</f>
        <v>415</v>
      </c>
      <c r="H295">
        <v>257</v>
      </c>
      <c r="I295">
        <v>257</v>
      </c>
      <c r="J295">
        <v>257</v>
      </c>
      <c r="K295">
        <v>257</v>
      </c>
    </row>
    <row r="296" spans="1:11" x14ac:dyDescent="0.25">
      <c r="B296" t="s">
        <v>551</v>
      </c>
      <c r="C296">
        <v>16</v>
      </c>
      <c r="D296" t="s">
        <v>528</v>
      </c>
      <c r="E296" s="2">
        <f>ROUNDDOWN(SUM($C$3:$C295)/8,0)</f>
        <v>416</v>
      </c>
      <c r="F296" s="2">
        <f>ROUNDUP((SUM($C$3:$C296)/8-1),0)</f>
        <v>417</v>
      </c>
      <c r="H296">
        <v>258</v>
      </c>
      <c r="I296">
        <v>258</v>
      </c>
      <c r="J296">
        <v>258</v>
      </c>
      <c r="K296">
        <v>258</v>
      </c>
    </row>
    <row r="297" spans="1:11" x14ac:dyDescent="0.25">
      <c r="B297" t="s">
        <v>552</v>
      </c>
      <c r="C297">
        <v>16</v>
      </c>
      <c r="D297" t="s">
        <v>528</v>
      </c>
      <c r="E297" s="2">
        <f>ROUNDDOWN(SUM($C$3:$C296)/8,0)</f>
        <v>418</v>
      </c>
      <c r="F297" s="2">
        <f>ROUNDUP((SUM($C$3:$C297)/8-1),0)</f>
        <v>419</v>
      </c>
      <c r="H297">
        <v>259</v>
      </c>
      <c r="I297">
        <v>259</v>
      </c>
      <c r="J297">
        <v>259</v>
      </c>
      <c r="K297">
        <v>259</v>
      </c>
    </row>
    <row r="298" spans="1:11" x14ac:dyDescent="0.25">
      <c r="B298" t="s">
        <v>553</v>
      </c>
      <c r="C298">
        <v>16</v>
      </c>
      <c r="D298" t="s">
        <v>528</v>
      </c>
      <c r="E298" s="2">
        <f>ROUNDDOWN(SUM($C$3:$C297)/8,0)</f>
        <v>420</v>
      </c>
      <c r="F298" s="2">
        <f>ROUNDUP((SUM($C$3:$C298)/8-1),0)</f>
        <v>421</v>
      </c>
      <c r="H298">
        <v>260</v>
      </c>
      <c r="I298">
        <v>260</v>
      </c>
      <c r="J298">
        <v>260</v>
      </c>
      <c r="K298">
        <v>260</v>
      </c>
    </row>
    <row r="299" spans="1:11" x14ac:dyDescent="0.25">
      <c r="A299" t="s">
        <v>33</v>
      </c>
      <c r="B299" t="s">
        <v>161</v>
      </c>
      <c r="C299">
        <v>8</v>
      </c>
      <c r="E299" s="2">
        <f>ROUNDDOWN(SUM($C$3:$C298)/8,0)</f>
        <v>422</v>
      </c>
      <c r="F299" s="2">
        <f>ROUNDUP((SUM($C$3:$C299)/8-1),0)</f>
        <v>422</v>
      </c>
      <c r="H299">
        <v>0</v>
      </c>
      <c r="I299">
        <v>0</v>
      </c>
      <c r="J299">
        <v>0</v>
      </c>
      <c r="K299">
        <v>0</v>
      </c>
    </row>
    <row r="300" spans="1:11" x14ac:dyDescent="0.25">
      <c r="A300" t="s">
        <v>603</v>
      </c>
      <c r="B300" t="s">
        <v>604</v>
      </c>
      <c r="C300">
        <v>8</v>
      </c>
      <c r="D300" t="s">
        <v>605</v>
      </c>
      <c r="E300" s="2">
        <f>ROUNDDOWN(SUM($C$3:$C299)/8,0)</f>
        <v>423</v>
      </c>
      <c r="F300" s="2">
        <f>ROUNDUP((SUM($C$3:$C300)/8-1),0)</f>
        <v>423</v>
      </c>
      <c r="H300">
        <v>160</v>
      </c>
      <c r="I300">
        <v>160</v>
      </c>
      <c r="J300">
        <v>160</v>
      </c>
      <c r="K300">
        <v>160</v>
      </c>
    </row>
    <row r="301" spans="1:11" x14ac:dyDescent="0.25">
      <c r="B301" t="s">
        <v>610</v>
      </c>
      <c r="C301">
        <v>16</v>
      </c>
      <c r="D301" t="s">
        <v>611</v>
      </c>
      <c r="E301" s="2">
        <f>ROUNDDOWN(SUM($C$3:$C300)/8,0)</f>
        <v>424</v>
      </c>
      <c r="F301" s="2">
        <f>ROUNDUP((SUM($C$3:$C301)/8-1),0)</f>
        <v>425</v>
      </c>
      <c r="H301">
        <v>25</v>
      </c>
      <c r="I301">
        <v>25</v>
      </c>
      <c r="J301">
        <v>25</v>
      </c>
      <c r="K301">
        <v>25</v>
      </c>
    </row>
    <row r="302" spans="1:11" x14ac:dyDescent="0.25">
      <c r="B302" t="s">
        <v>606</v>
      </c>
      <c r="C302">
        <v>8</v>
      </c>
      <c r="D302" t="s">
        <v>608</v>
      </c>
      <c r="E302" s="2">
        <f>ROUNDDOWN(SUM($C$3:$C301)/8,0)</f>
        <v>426</v>
      </c>
      <c r="F302" s="2">
        <f>ROUNDUP((SUM($C$3:$C302)/8-1),0)</f>
        <v>426</v>
      </c>
      <c r="H302">
        <v>25</v>
      </c>
      <c r="I302">
        <v>25</v>
      </c>
      <c r="J302">
        <v>25</v>
      </c>
      <c r="K302">
        <v>25</v>
      </c>
    </row>
    <row r="303" spans="1:11" x14ac:dyDescent="0.25">
      <c r="B303" t="s">
        <v>612</v>
      </c>
      <c r="C303">
        <v>8</v>
      </c>
      <c r="D303" t="s">
        <v>613</v>
      </c>
      <c r="E303" s="2">
        <f>ROUNDDOWN(SUM($C$3:$C302)/8,0)</f>
        <v>427</v>
      </c>
      <c r="F303" s="2">
        <f>ROUNDUP((SUM($C$3:$C303)/8-1),0)</f>
        <v>427</v>
      </c>
      <c r="H303">
        <v>1</v>
      </c>
      <c r="I303">
        <v>1</v>
      </c>
      <c r="J303">
        <v>1</v>
      </c>
      <c r="K303">
        <v>1</v>
      </c>
    </row>
    <row r="304" spans="1:11" x14ac:dyDescent="0.25">
      <c r="B304" t="s">
        <v>607</v>
      </c>
      <c r="C304">
        <v>8</v>
      </c>
      <c r="D304" t="s">
        <v>609</v>
      </c>
      <c r="E304" s="2">
        <f>ROUNDDOWN(SUM($C$3:$C303)/8,0)</f>
        <v>428</v>
      </c>
      <c r="F304" s="2">
        <f>ROUNDUP((SUM($C$3:$C304)/8-1),0)</f>
        <v>428</v>
      </c>
      <c r="H304">
        <v>10</v>
      </c>
      <c r="I304">
        <v>10</v>
      </c>
      <c r="J304">
        <v>10</v>
      </c>
      <c r="K304">
        <v>10</v>
      </c>
    </row>
    <row r="305" spans="1:11" x14ac:dyDescent="0.25">
      <c r="A305" t="s">
        <v>500</v>
      </c>
      <c r="B305" t="s">
        <v>501</v>
      </c>
      <c r="C305">
        <v>8</v>
      </c>
      <c r="D305" t="s">
        <v>502</v>
      </c>
      <c r="E305" s="2">
        <f>ROUNDDOWN(SUM($C$3:$C304)/8,0)</f>
        <v>429</v>
      </c>
      <c r="F305" s="2">
        <f>ROUNDUP((SUM($C$3:$C305)/8-1),0)</f>
        <v>429</v>
      </c>
      <c r="G305" t="s">
        <v>503</v>
      </c>
      <c r="H305">
        <v>207</v>
      </c>
      <c r="I305">
        <v>207</v>
      </c>
      <c r="J305">
        <v>207</v>
      </c>
      <c r="K305">
        <v>207</v>
      </c>
    </row>
    <row r="306" spans="1:11" x14ac:dyDescent="0.25">
      <c r="B306" t="s">
        <v>504</v>
      </c>
      <c r="C306">
        <v>8</v>
      </c>
      <c r="D306" t="s">
        <v>505</v>
      </c>
      <c r="E306" s="2">
        <f>ROUNDDOWN(SUM($C$3:$C305)/8,0)</f>
        <v>430</v>
      </c>
      <c r="F306" s="2">
        <f>ROUNDUP((SUM($C$3:$C306)/8-1),0)</f>
        <v>430</v>
      </c>
      <c r="G306" t="s">
        <v>503</v>
      </c>
      <c r="H306">
        <v>185</v>
      </c>
      <c r="I306">
        <v>185</v>
      </c>
      <c r="J306">
        <v>185</v>
      </c>
      <c r="K306">
        <v>185</v>
      </c>
    </row>
    <row r="307" spans="1:11" x14ac:dyDescent="0.25">
      <c r="B307" t="s">
        <v>506</v>
      </c>
      <c r="C307">
        <v>8</v>
      </c>
      <c r="D307" t="s">
        <v>507</v>
      </c>
      <c r="E307" s="2">
        <f>ROUNDDOWN(SUM($C$3:$C306)/8,0)</f>
        <v>431</v>
      </c>
      <c r="F307" s="2">
        <f>ROUNDUP((SUM($C$3:$C307)/8-1),0)</f>
        <v>431</v>
      </c>
      <c r="G307" t="s">
        <v>503</v>
      </c>
      <c r="H307">
        <v>209</v>
      </c>
      <c r="I307">
        <v>209</v>
      </c>
      <c r="J307">
        <v>209</v>
      </c>
      <c r="K307">
        <v>209</v>
      </c>
    </row>
    <row r="308" spans="1:11" x14ac:dyDescent="0.25">
      <c r="B308" t="s">
        <v>508</v>
      </c>
      <c r="C308">
        <v>8</v>
      </c>
      <c r="D308" t="s">
        <v>509</v>
      </c>
      <c r="E308" s="2">
        <f>ROUNDDOWN(SUM($C$3:$C307)/8,0)</f>
        <v>432</v>
      </c>
      <c r="F308" s="2">
        <f>ROUNDUP((SUM($C$3:$C308)/8-1),0)</f>
        <v>432</v>
      </c>
      <c r="G308" t="s">
        <v>503</v>
      </c>
      <c r="H308">
        <v>45</v>
      </c>
      <c r="I308">
        <v>45</v>
      </c>
      <c r="J308">
        <v>45</v>
      </c>
      <c r="K308">
        <v>45</v>
      </c>
    </row>
    <row r="309" spans="1:11" x14ac:dyDescent="0.25">
      <c r="B309" t="s">
        <v>510</v>
      </c>
      <c r="C309">
        <v>8</v>
      </c>
      <c r="D309" t="s">
        <v>511</v>
      </c>
      <c r="E309" s="2">
        <f>ROUNDDOWN(SUM($C$3:$C308)/8,0)</f>
        <v>433</v>
      </c>
      <c r="F309" s="2">
        <f>ROUNDUP((SUM($C$3:$C309)/8-1),0)</f>
        <v>433</v>
      </c>
      <c r="G309" t="s">
        <v>503</v>
      </c>
      <c r="H309">
        <v>255</v>
      </c>
      <c r="I309">
        <v>255</v>
      </c>
      <c r="J309">
        <v>255</v>
      </c>
      <c r="K309">
        <v>255</v>
      </c>
    </row>
    <row r="310" spans="1:11" x14ac:dyDescent="0.25">
      <c r="B310" t="s">
        <v>512</v>
      </c>
      <c r="C310">
        <v>8</v>
      </c>
      <c r="D310" t="s">
        <v>513</v>
      </c>
      <c r="E310" s="2">
        <f>ROUNDDOWN(SUM($C$3:$C309)/8,0)</f>
        <v>434</v>
      </c>
      <c r="F310" s="2">
        <f>ROUNDUP((SUM($C$3:$C310)/8-1),0)</f>
        <v>434</v>
      </c>
      <c r="G310" t="s">
        <v>503</v>
      </c>
      <c r="H310">
        <v>255</v>
      </c>
      <c r="I310">
        <v>255</v>
      </c>
      <c r="J310">
        <v>255</v>
      </c>
      <c r="K310">
        <v>255</v>
      </c>
    </row>
    <row r="311" spans="1:11" x14ac:dyDescent="0.25">
      <c r="B311" t="s">
        <v>514</v>
      </c>
      <c r="C311">
        <v>8</v>
      </c>
      <c r="D311" t="s">
        <v>515</v>
      </c>
      <c r="E311" s="2">
        <f>ROUNDDOWN(SUM($C$3:$C310)/8,0)</f>
        <v>435</v>
      </c>
      <c r="F311" s="2">
        <f>ROUNDUP((SUM($C$3:$C311)/8-1),0)</f>
        <v>435</v>
      </c>
      <c r="G311" t="s">
        <v>503</v>
      </c>
      <c r="H311">
        <v>95</v>
      </c>
      <c r="I311">
        <v>95</v>
      </c>
      <c r="J311">
        <v>95</v>
      </c>
      <c r="K311">
        <v>95</v>
      </c>
    </row>
    <row r="312" spans="1:11" x14ac:dyDescent="0.25">
      <c r="B312" t="s">
        <v>516</v>
      </c>
      <c r="C312">
        <v>8</v>
      </c>
      <c r="D312" t="s">
        <v>517</v>
      </c>
      <c r="E312" s="2">
        <f>ROUNDDOWN(SUM($C$3:$C311)/8,0)</f>
        <v>436</v>
      </c>
      <c r="F312" s="2">
        <f>ROUNDUP((SUM($C$3:$C312)/8-1),0)</f>
        <v>436</v>
      </c>
      <c r="G312" t="s">
        <v>503</v>
      </c>
      <c r="H312">
        <v>165</v>
      </c>
      <c r="I312">
        <v>165</v>
      </c>
      <c r="J312">
        <v>165</v>
      </c>
      <c r="K312">
        <v>165</v>
      </c>
    </row>
  </sheetData>
  <pageMargins left="0.7" right="0.7" top="0.75" bottom="0.75" header="0.3" footer="0.3"/>
  <pageSetup orientation="portrait" r:id="rId1"/>
  <headerFooter>
    <oddHeader>&amp;L&amp;"Arial"&amp;12&amp;K000000 Micron Confidential&amp;1#_x000D_</oddHeader>
    <oddFooter>&amp;L_x000D_&amp;1#&amp;"Arial"&amp;12&amp;K000000 Micron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47d147c6-3f0a-4d44-b6d0-e5fcde84def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55C1F00C8E4842AA5B8778B1C64D66" ma:contentTypeVersion="15" ma:contentTypeDescription="Create a new document." ma:contentTypeScope="" ma:versionID="b2df3d2f899e4cea6d080d5955efeee3">
  <xsd:schema xmlns:xsd="http://www.w3.org/2001/XMLSchema" xmlns:xs="http://www.w3.org/2001/XMLSchema" xmlns:p="http://schemas.microsoft.com/office/2006/metadata/properties" xmlns:ns1="http://schemas.microsoft.com/sharepoint/v3" xmlns:ns3="921c8ed9-7945-47ae-999f-0546d1c17c0c" xmlns:ns4="47d147c6-3f0a-4d44-b6d0-e5fcde84defb" targetNamespace="http://schemas.microsoft.com/office/2006/metadata/properties" ma:root="true" ma:fieldsID="3e5579c928a7254fdfae87bd48725846" ns1:_="" ns3:_="" ns4:_="">
    <xsd:import namespace="http://schemas.microsoft.com/sharepoint/v3"/>
    <xsd:import namespace="921c8ed9-7945-47ae-999f-0546d1c17c0c"/>
    <xsd:import namespace="47d147c6-3f0a-4d44-b6d0-e5fcde84def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1:_ip_UnifiedCompliancePolicyProperties" minOccurs="0"/>
                <xsd:element ref="ns1:_ip_UnifiedCompliancePolicyUIAction" minOccurs="0"/>
                <xsd:element ref="ns4:_activity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1c8ed9-7945-47ae-999f-0546d1c17c0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d147c6-3f0a-4d44-b6d0-e5fcde84de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78A6DF-1202-4B43-AFDB-B195419927E4}">
  <ds:schemaRefs>
    <ds:schemaRef ds:uri="921c8ed9-7945-47ae-999f-0546d1c17c0c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openxmlformats.org/package/2006/metadata/core-properties"/>
    <ds:schemaRef ds:uri="47d147c6-3f0a-4d44-b6d0-e5fcde84defb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EEB365F-0772-4738-95B3-873CDA51E4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38ED84-2771-406A-9705-530DB023C9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21c8ed9-7945-47ae-999f-0546d1c17c0c"/>
    <ds:schemaRef ds:uri="47d147c6-3f0a-4d44-b6d0-e5fcde84de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7874100-6000-43b6-a204-2d77792600b9}" enabled="1" method="Standard" siteId="{f38a5ecd-2813-4862-b11b-ac1d563c806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Yeung</dc:creator>
  <cp:keywords/>
  <dc:description/>
  <cp:lastModifiedBy>Guang Hu</cp:lastModifiedBy>
  <cp:revision/>
  <dcterms:created xsi:type="dcterms:W3CDTF">2024-01-25T00:21:08Z</dcterms:created>
  <dcterms:modified xsi:type="dcterms:W3CDTF">2026-03-16T23:26:30Z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7874100-6000-43b6-a204-2d77792600b9_Enabled">
    <vt:lpwstr>true</vt:lpwstr>
  </property>
  <property fmtid="{D5CDD505-2E9C-101B-9397-08002B2CF9AE}" pid="3" name="MSIP_Label_37874100-6000-43b6-a204-2d77792600b9_SetDate">
    <vt:lpwstr>2024-01-25T00:59:05Z</vt:lpwstr>
  </property>
  <property fmtid="{D5CDD505-2E9C-101B-9397-08002B2CF9AE}" pid="4" name="MSIP_Label_37874100-6000-43b6-a204-2d77792600b9_Method">
    <vt:lpwstr>Standard</vt:lpwstr>
  </property>
  <property fmtid="{D5CDD505-2E9C-101B-9397-08002B2CF9AE}" pid="5" name="MSIP_Label_37874100-6000-43b6-a204-2d77792600b9_Name">
    <vt:lpwstr>Confidential</vt:lpwstr>
  </property>
  <property fmtid="{D5CDD505-2E9C-101B-9397-08002B2CF9AE}" pid="6" name="MSIP_Label_37874100-6000-43b6-a204-2d77792600b9_SiteId">
    <vt:lpwstr>f38a5ecd-2813-4862-b11b-ac1d563c806f</vt:lpwstr>
  </property>
  <property fmtid="{D5CDD505-2E9C-101B-9397-08002B2CF9AE}" pid="7" name="MSIP_Label_37874100-6000-43b6-a204-2d77792600b9_ActionId">
    <vt:lpwstr>d8eba162-f28d-4402-986e-24e7e66d4161</vt:lpwstr>
  </property>
  <property fmtid="{D5CDD505-2E9C-101B-9397-08002B2CF9AE}" pid="8" name="MSIP_Label_37874100-6000-43b6-a204-2d77792600b9_ContentBits">
    <vt:lpwstr>3</vt:lpwstr>
  </property>
  <property fmtid="{D5CDD505-2E9C-101B-9397-08002B2CF9AE}" pid="9" name="ContentTypeId">
    <vt:lpwstr>0x0101001A55C1F00C8E4842AA5B8778B1C64D66</vt:lpwstr>
  </property>
</Properties>
</file>